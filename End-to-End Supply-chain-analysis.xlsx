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pss7\Desktop\"/>
    </mc:Choice>
  </mc:AlternateContent>
  <xr:revisionPtr revIDLastSave="0" documentId="13_ncr:1_{BD42C530-ABDB-41C9-A9A1-DC053F4518F2}" xr6:coauthVersionLast="47" xr6:coauthVersionMax="47" xr10:uidLastSave="{00000000-0000-0000-0000-000000000000}"/>
  <bookViews>
    <workbookView xWindow="-120" yWindow="-120" windowWidth="20730" windowHeight="11040" activeTab="2" xr2:uid="{A8F5B236-0289-42EF-A1C2-798DDFD23A5D}"/>
  </bookViews>
  <sheets>
    <sheet name="Supply Chain Dataset" sheetId="2" r:id="rId1"/>
    <sheet name="KPIs" sheetId="3" r:id="rId2"/>
    <sheet name="Commercial Analysis" sheetId="5" r:id="rId3"/>
    <sheet name="Operational Analysis" sheetId="7" r:id="rId4"/>
  </sheets>
  <definedNames>
    <definedName name="ExternalData_1" localSheetId="0" hidden="1">'Supply Chain Dataset'!$A$1:$AB$101</definedName>
  </definedNames>
  <calcPr calcId="181029"/>
  <pivotCaches>
    <pivotCache cacheId="0" r:id="rId5"/>
    <pivotCache cacheId="1" r:id="rId6"/>
    <pivotCache cacheId="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BB6D0-77CD-4E64-A08C-2018BEA00BE2}" keepAlive="1" name="Query - supply_chain_data (1)" description="Connection to the 'supply_chain_data (1)' query in the workbook." type="5" refreshedVersion="8" background="1" saveData="1">
    <dbPr connection="Provider=Microsoft.Mashup.OleDb.1;Data Source=$Workbook$;Location=&quot;supply_chain_data (1)&quot;;Extended Properties=&quot;&quot;" command="SELECT * FROM [supply_chain_data (1)]"/>
  </connection>
</connections>
</file>

<file path=xl/sharedStrings.xml><?xml version="1.0" encoding="utf-8"?>
<sst xmlns="http://schemas.openxmlformats.org/spreadsheetml/2006/main" count="1011" uniqueCount="183">
  <si>
    <t>Product type</t>
  </si>
  <si>
    <t>SKU</t>
  </si>
  <si>
    <t>Price</t>
  </si>
  <si>
    <t>Availability</t>
  </si>
  <si>
    <t>Number of products sold</t>
  </si>
  <si>
    <t>Customer demographics</t>
  </si>
  <si>
    <t>Stock levels</t>
  </si>
  <si>
    <t>Lead times</t>
  </si>
  <si>
    <t>Actual Lead time</t>
  </si>
  <si>
    <t>Order quantities</t>
  </si>
  <si>
    <t>Shipping times</t>
  </si>
  <si>
    <t>Shipping carriers</t>
  </si>
  <si>
    <t>Shipping costs</t>
  </si>
  <si>
    <t>Supplier name</t>
  </si>
  <si>
    <t>Location</t>
  </si>
  <si>
    <t>Supplier 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</si>
  <si>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</si>
  <si>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</si>
  <si>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</si>
  <si>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</si>
  <si>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</si>
  <si>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</si>
  <si>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</si>
  <si>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</si>
  <si>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Check_MLT_vs_LT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</si>
  <si>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</si>
  <si>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</si>
  <si>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</si>
  <si>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</si>
  <si>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</si>
  <si>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</si>
  <si>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</si>
  <si>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</si>
  <si>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</si>
  <si>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</si>
  <si>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</si>
  <si>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</si>
  <si>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</si>
  <si>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</si>
  <si>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</si>
  <si>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</si>
  <si>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</si>
  <si>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</si>
  <si>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</si>
  <si>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</si>
  <si>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</si>
  <si>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</si>
  <si>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</si>
  <si>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</si>
  <si>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</si>
  <si>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</si>
  <si>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</si>
  <si>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</si>
  <si>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</si>
  <si>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</si>
  <si>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</si>
  <si>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</si>
  <si>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</si>
  <si>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</si>
  <si>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</si>
  <si>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</si>
  <si>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</si>
  <si>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</si>
  <si>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</si>
  <si>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</si>
  <si>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</si>
  <si>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</si>
  <si>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</si>
  <si>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</si>
  <si>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</si>
  <si>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</si>
  <si>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</si>
  <si>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</si>
  <si>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</si>
  <si>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</si>
  <si>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</si>
  <si>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</si>
  <si>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</si>
  <si>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</si>
  <si>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</si>
  <si>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</si>
  <si>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</si>
  <si>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</si>
  <si>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</si>
  <si>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</si>
  <si>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</si>
  <si>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</si>
  <si>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</si>
  <si>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</si>
  <si>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</si>
  <si>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</si>
  <si>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</si>
  <si>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</si>
  <si>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</si>
  <si>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</si>
  <si>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</si>
  <si>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</si>
  <si>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</si>
  <si>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</si>
  <si>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</si>
  <si>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</si>
  <si>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</si>
  <si>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</si>
  <si>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</si>
  <si>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</si>
  <si>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</si>
  <si>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</si>
  <si>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</si>
  <si>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</si>
  <si>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</si>
  <si>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</si>
  <si>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</si>
  <si>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</si>
  <si>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</si>
  <si>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</si>
  <si>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</si>
  <si>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</si>
  <si>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</si>
  <si>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</si>
  <si>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</si>
  <si>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</si>
  <si>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</si>
  <si>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</si>
  <si>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</si>
  <si>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</si>
  <si>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</si>
  <si>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</si>
  <si>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</si>
  <si>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</si>
  <si>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</si>
  <si>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</si>
  <si>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</si>
  <si>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</si>
  <si>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</si>
  <si>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</si>
  <si>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</si>
  <si>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</si>
  <si>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</si>
  <si>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</si>
  <si>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</si>
  <si>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</si>
  <si>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</si>
  <si>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</si>
  <si>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</si>
  <si>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</si>
  <si>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</si>
  <si>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</si>
  <si>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</si>
  <si>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</si>
  <si>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</si>
  <si>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</si>
  <si>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</si>
  <si>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</si>
  <si>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</si>
  <si>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</si>
  <si>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Grand Total</t>
  </si>
  <si>
    <t>Average of Shipping times</t>
  </si>
  <si>
    <t>Average of Defect rates</t>
  </si>
  <si>
    <t>Adjusted Lead Time</t>
  </si>
  <si>
    <t>Average of Lead Time</t>
  </si>
  <si>
    <t>Products</t>
  </si>
  <si>
    <t>Stock Ratio</t>
  </si>
  <si>
    <t>Suppliers</t>
  </si>
  <si>
    <t>Carrier A Total</t>
  </si>
  <si>
    <t>Carrier B Total</t>
  </si>
  <si>
    <t>Carrier C Total</t>
  </si>
  <si>
    <t>Total Defects</t>
  </si>
  <si>
    <t>Inventory Turnover</t>
  </si>
  <si>
    <t xml:space="preserve"> Production Gap </t>
  </si>
  <si>
    <t>Total  Shipping costs</t>
  </si>
  <si>
    <t>Average Lead Time</t>
  </si>
  <si>
    <t>Average Shipping times</t>
  </si>
  <si>
    <t>Average Defect rates</t>
  </si>
  <si>
    <t>Total Sales</t>
  </si>
  <si>
    <t>Stock Availability</t>
  </si>
  <si>
    <t>Sales</t>
  </si>
  <si>
    <t xml:space="preserve">Total Revenue </t>
  </si>
  <si>
    <t xml:space="preserve"> Number of products sold</t>
  </si>
  <si>
    <t>Number of products produced</t>
  </si>
  <si>
    <t>Carriers</t>
  </si>
  <si>
    <t>Total of Stock levels</t>
  </si>
  <si>
    <t>Total of products sold</t>
  </si>
  <si>
    <t>Revenue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</si>
</sst>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409]* #,##0.00_ ;_-[$$-409]* \-#,##0.00\ ;_-[$$-409]* &quot;-&quot;??_ ;_-@_ 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0" fontId="0" fillId="0" borderId="0" xfId="0" applyNumberFormat="1"/>
    <xf numFmtId="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55">
    <dxf>
      <numFmt numFmtId="0" formatCode="General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3" formatCode="0%"/>
    </dxf>
    <dxf>
      <numFmt numFmtId="2" formatCode="0.00"/>
    </dxf>
    <dxf>
      <numFmt numFmtId="0" formatCode="General"/>
    </dxf>
    <dxf>
      <numFmt numFmtId="0" formatCode="General"/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</dxf>
    <dxf>
      <font>
        <b/>
        <i val="0"/>
      </font>
    </dxf>
    <dxf>
      <font>
        <b/>
        <i val="0"/>
      </font>
    </dxf>
    <dxf>
      <font>
        <b/>
        <i val="0"/>
        <color auto="1"/>
      </font>
    </dxf>
    <dxf>
      <font>
        <color rgb="FFFFFF00"/>
      </font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ill>
        <patternFill>
          <bgColor theme="2"/>
        </patternFill>
      </fill>
    </dxf>
    <dxf>
      <font>
        <b/>
        <color theme="1"/>
      </font>
      <fill>
        <patternFill>
          <bgColor theme="2"/>
        </patternFill>
      </fill>
    </dxf>
    <dxf>
      <font>
        <b/>
        <color theme="1"/>
      </font>
      <fill>
        <patternFill>
          <bgColor theme="2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ill>
        <patternFill>
          <bgColor theme="4" tint="0.59996337778862885"/>
        </patternFill>
      </fill>
    </dxf>
    <dxf>
      <font>
        <b/>
        <color theme="1"/>
      </font>
      <fill>
        <patternFill>
          <bgColor theme="4" tint="0.59996337778862885"/>
        </patternFill>
      </fill>
    </dxf>
    <dxf>
      <font>
        <b/>
        <color theme="1"/>
      </font>
      <fill>
        <patternFill>
          <bgColor theme="4" tint="0.59996337778862885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</dxfs>
  <tableStyles count="7" defaultTableStyle="TableStyleMedium2" defaultPivotStyle="PivotStyleLight16">
    <tableStyle name="PivotStyleLight16 2" table="0" count="12" xr9:uid="{BCE3904B-0BEA-4598-A5B4-8964428D438C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Column" dxfId="50"/>
      <tableStyleElement type="firstSubtotalRow" dxfId="49"/>
      <tableStyleElement type="secondSubtotalRow" dxfId="48"/>
      <tableStyleElement type="thir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  <tableStyle name="PivotStyleLight16 3" table="0" count="12" xr9:uid="{99C1A75C-7312-4284-AF84-14A58842B9F7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Column" dxfId="38"/>
      <tableStyleElement type="firstSubtotalRow" dxfId="37"/>
      <tableStyleElement type="secondSubtotalRow" dxfId="36"/>
      <tableStyleElement type="thir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  <tableStyle name="PivotTable Style 1" table="0" count="1" xr9:uid="{9038F63A-B553-4018-98CC-70DBA035F0B9}">
      <tableStyleElement type="firstSubtotalRow" dxfId="30"/>
    </tableStyle>
    <tableStyle name="PivotTable Style 2" table="0" count="3" xr9:uid="{F477C001-FC12-4FB2-A014-36CC76EBBF28}">
      <tableStyleElement type="firstSubtotalRow" dxfId="29"/>
      <tableStyleElement type="secondSubtotalRow" dxfId="28"/>
      <tableStyleElement type="thirdSubtotalRow" dxfId="27"/>
    </tableStyle>
    <tableStyle name="PivotTable Style 3" table="0" count="1" xr9:uid="{57843FEB-CD38-4BA3-BA66-7953C799B210}">
      <tableStyleElement type="firstSubtotalRow" dxfId="26"/>
    </tableStyle>
    <tableStyle name="PivotTable Style 4" table="0" count="1" xr9:uid="{A84DABF9-9DB4-4A37-96BF-09BE79605429}">
      <tableStyleElement type="firstSubtotalRow" dxfId="25"/>
    </tableStyle>
    <tableStyle name="PivotTable Style 5" table="0" count="1" xr9:uid="{6AE9B7C0-CEFC-4A1E-8C71-DD8B7125F9E7}">
      <tableStyleElement type="firstRowSubheading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0</xdr:colOff>
      <xdr:row>3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5E9A4E-CE8C-A900-3C4B-1BA1F917200E}"/>
            </a:ext>
          </a:extLst>
        </xdr:cNvPr>
        <xdr:cNvSpPr txBox="1"/>
      </xdr:nvSpPr>
      <xdr:spPr>
        <a:xfrm>
          <a:off x="0" y="47625"/>
          <a:ext cx="24765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/>
            <a:t>Revenue and Sales Distribution by Product &amp; Gender </a:t>
          </a:r>
        </a:p>
      </xdr:txBody>
    </xdr:sp>
    <xdr:clientData/>
  </xdr:twoCellAnchor>
  <xdr:twoCellAnchor>
    <xdr:from>
      <xdr:col>5</xdr:col>
      <xdr:colOff>904875</xdr:colOff>
      <xdr:row>0</xdr:row>
      <xdr:rowOff>171450</xdr:rowOff>
    </xdr:from>
    <xdr:to>
      <xdr:col>10</xdr:col>
      <xdr:colOff>9524</xdr:colOff>
      <xdr:row>2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C69EC9-6720-4B77-9E44-FD0A9B16284B}"/>
            </a:ext>
          </a:extLst>
        </xdr:cNvPr>
        <xdr:cNvSpPr txBox="1"/>
      </xdr:nvSpPr>
      <xdr:spPr>
        <a:xfrm>
          <a:off x="5276850" y="171450"/>
          <a:ext cx="5295899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/>
            <a:t>Production vs Sales Comparison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0</xdr:row>
      <xdr:rowOff>38100</xdr:rowOff>
    </xdr:from>
    <xdr:to>
      <xdr:col>7</xdr:col>
      <xdr:colOff>1219200</xdr:colOff>
      <xdr:row>1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93EEF1-E5A3-488A-AB5A-A95396F8343A}"/>
            </a:ext>
          </a:extLst>
        </xdr:cNvPr>
        <xdr:cNvSpPr txBox="1"/>
      </xdr:nvSpPr>
      <xdr:spPr>
        <a:xfrm>
          <a:off x="7315200" y="38100"/>
          <a:ext cx="24765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/>
            <a:t>Average</a:t>
          </a:r>
          <a:r>
            <a:rPr lang="fr-FR" sz="1200" b="1" baseline="0"/>
            <a:t> Defect rate</a:t>
          </a:r>
          <a:r>
            <a:rPr lang="fr-FR" sz="1200" b="1"/>
            <a:t> by Product </a:t>
          </a:r>
        </a:p>
      </xdr:txBody>
    </xdr:sp>
    <xdr:clientData/>
  </xdr:twoCellAnchor>
  <xdr:twoCellAnchor>
    <xdr:from>
      <xdr:col>5</xdr:col>
      <xdr:colOff>1619250</xdr:colOff>
      <xdr:row>7</xdr:row>
      <xdr:rowOff>152400</xdr:rowOff>
    </xdr:from>
    <xdr:to>
      <xdr:col>8</xdr:col>
      <xdr:colOff>9525</xdr:colOff>
      <xdr:row>9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21736C-F788-4C7E-A333-521A98C927F2}"/>
            </a:ext>
          </a:extLst>
        </xdr:cNvPr>
        <xdr:cNvSpPr txBox="1"/>
      </xdr:nvSpPr>
      <xdr:spPr>
        <a:xfrm>
          <a:off x="7200900" y="1485900"/>
          <a:ext cx="22574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Shipping Costs by</a:t>
          </a:r>
          <a:r>
            <a:rPr lang="fr-F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fr-FR" sz="1200" b="1"/>
            <a:t>Carrier </a:t>
          </a:r>
        </a:p>
      </xdr:txBody>
    </xdr:sp>
    <xdr:clientData/>
  </xdr:twoCellAnchor>
  <xdr:twoCellAnchor>
    <xdr:from>
      <xdr:col>1</xdr:col>
      <xdr:colOff>876300</xdr:colOff>
      <xdr:row>0</xdr:row>
      <xdr:rowOff>38100</xdr:rowOff>
    </xdr:from>
    <xdr:to>
      <xdr:col>3</xdr:col>
      <xdr:colOff>57150</xdr:colOff>
      <xdr:row>1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49ADF6-BC34-43BC-A808-6885B60B8DA0}"/>
            </a:ext>
          </a:extLst>
        </xdr:cNvPr>
        <xdr:cNvSpPr txBox="1"/>
      </xdr:nvSpPr>
      <xdr:spPr>
        <a:xfrm>
          <a:off x="1752600" y="38100"/>
          <a:ext cx="24765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/>
            <a:t>Stock Ratio &amp; Inventory Turnover</a:t>
          </a:r>
        </a:p>
      </xdr:txBody>
    </xdr:sp>
    <xdr:clientData/>
  </xdr:twoCellAnchor>
  <xdr:twoCellAnchor>
    <xdr:from>
      <xdr:col>1</xdr:col>
      <xdr:colOff>209549</xdr:colOff>
      <xdr:row>7</xdr:row>
      <xdr:rowOff>152400</xdr:rowOff>
    </xdr:from>
    <xdr:to>
      <xdr:col>3</xdr:col>
      <xdr:colOff>295275</xdr:colOff>
      <xdr:row>10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498F920-41ED-45B9-A92F-DD2B5510AFE5}"/>
            </a:ext>
          </a:extLst>
        </xdr:cNvPr>
        <xdr:cNvSpPr txBox="1"/>
      </xdr:nvSpPr>
      <xdr:spPr>
        <a:xfrm>
          <a:off x="962024" y="1485900"/>
          <a:ext cx="2981326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Shipping Time</a:t>
          </a:r>
          <a:r>
            <a:rPr lang="fr-F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 Carrier &amp; Transport Mode</a:t>
          </a:r>
          <a:endParaRPr lang="fr-FR" sz="1200" b="1"/>
        </a:p>
      </xdr:txBody>
    </xdr:sp>
    <xdr:clientData/>
  </xdr:twoCellAnchor>
  <xdr:twoCellAnchor>
    <xdr:from>
      <xdr:col>5</xdr:col>
      <xdr:colOff>1609725</xdr:colOff>
      <xdr:row>16</xdr:row>
      <xdr:rowOff>114300</xdr:rowOff>
    </xdr:from>
    <xdr:to>
      <xdr:col>7</xdr:col>
      <xdr:colOff>1466849</xdr:colOff>
      <xdr:row>18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A3878A-B923-4D9C-A980-FB12A90FE199}"/>
            </a:ext>
          </a:extLst>
        </xdr:cNvPr>
        <xdr:cNvSpPr txBox="1"/>
      </xdr:nvSpPr>
      <xdr:spPr>
        <a:xfrm>
          <a:off x="7191375" y="3162300"/>
          <a:ext cx="2247899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Lead Time by Suppliers</a:t>
          </a:r>
          <a:endParaRPr lang="fr-FR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gy gygy" refreshedDate="46125.95789247685" createdVersion="8" refreshedVersion="8" minRefreshableVersion="3" recordCount="101" xr:uid="{B7D9978A-BAFE-43FD-A2BE-49BBF09499E5}">
  <cacheSource type="worksheet">
    <worksheetSource ref="A1:AC1048576" sheet="Supply Chain Dataset"/>
  </cacheSource>
  <cacheFields count="28">
    <cacheField name="Product type" numFmtId="0">
      <sharedItems containsBlank="1"/>
    </cacheField>
    <cacheField name="SKU" numFmtId="0">
      <sharedItems containsBlank="1"/>
    </cacheField>
    <cacheField name="Price" numFmtId="2">
      <sharedItems containsString="0" containsBlank="1" containsNumber="1" minValue="1.6999760138659377" maxValue="99.171328638624189"/>
    </cacheField>
    <cacheField name="Availability" numFmtId="9">
      <sharedItems containsString="0" containsBlank="1" containsNumber="1" minValue="0.01" maxValue="1"/>
    </cacheField>
    <cacheField name="Number of products sold" numFmtId="0">
      <sharedItems containsString="0" containsBlank="1" containsNumber="1" containsInteger="1" minValue="8" maxValue="996"/>
    </cacheField>
    <cacheField name="Revenue raw" numFmtId="2">
      <sharedItems containsString="0" containsBlank="1" containsNumber="1" minValue="1061.618523013288" maxValue="9866.465457979697"/>
    </cacheField>
    <cacheField name="Revenue calculated" numFmtId="2">
      <sharedItems containsString="0" containsBlank="1" containsNumber="1" minValue="90.557466344724531" maxValue="87098.043651651838"/>
    </cacheField>
    <cacheField name="Revenue Gap" numFmtId="2">
      <sharedItems containsString="0" containsBlank="1" containsNumber="1" minValue="-80910.097467415661" maxValue="9487.1921595240055"/>
    </cacheField>
    <cacheField name="Customer demographics" numFmtId="0">
      <sharedItems containsBlank="1"/>
    </cacheField>
    <cacheField name="Stock levels" numFmtId="1">
      <sharedItems containsString="0" containsBlank="1" containsNumber="1" containsInteger="1" minValue="0" maxValue="100"/>
    </cacheField>
    <cacheField name="Lead times" numFmtId="1">
      <sharedItems containsString="0" containsBlank="1" containsNumber="1" containsInteger="1" minValue="1" maxValue="30"/>
    </cacheField>
    <cacheField name="Actual Lead time" numFmtId="1">
      <sharedItems containsString="0" containsBlank="1" containsNumber="1" containsInteger="1" minValue="5" maxValue="58"/>
    </cacheField>
    <cacheField name="Order quantities" numFmtId="1">
      <sharedItems containsString="0" containsBlank="1" containsNumber="1" containsInteger="1" minValue="1" maxValue="96"/>
    </cacheField>
    <cacheField name="Shipping times" numFmtId="0">
      <sharedItems containsString="0" containsBlank="1" containsNumber="1" containsInteger="1" minValue="1" maxValue="10"/>
    </cacheField>
    <cacheField name="Shipping carriers" numFmtId="0">
      <sharedItems containsBlank="1"/>
    </cacheField>
    <cacheField name="Shipping costs" numFmtId="2">
      <sharedItems containsString="0" containsBlank="1" containsNumber="1" minValue="1.0134865660958963" maxValue="9.9298162452772587"/>
    </cacheField>
    <cacheField name="Supplier name" numFmtId="0">
      <sharedItems containsBlank="1"/>
    </cacheField>
    <cacheField name="Location" numFmtId="0">
      <sharedItems containsBlank="1"/>
    </cacheField>
    <cacheField name="Supplier lead time" numFmtId="1">
      <sharedItems containsString="0" containsBlank="1" containsNumber="1" containsInteger="1" minValue="1" maxValue="30"/>
    </cacheField>
    <cacheField name="Production volumes" numFmtId="1">
      <sharedItems containsString="0" containsBlank="1" containsNumber="1" containsInteger="1" minValue="104" maxValue="985"/>
    </cacheField>
    <cacheField name="Manufacturing lead time" numFmtId="1">
      <sharedItems containsString="0" containsBlank="1" containsNumber="1" containsInteger="1" minValue="1" maxValue="30"/>
    </cacheField>
    <cacheField name="Manufacturing costs" numFmtId="2">
      <sharedItems containsString="0" containsBlank="1" containsNumber="1" minValue="1.0850685695870688" maxValue="99.466108603599125"/>
    </cacheField>
    <cacheField name="Inspection results" numFmtId="0">
      <sharedItems containsBlank="1"/>
    </cacheField>
    <cacheField name="Defect rates" numFmtId="10">
      <sharedItems containsString="0" containsBlank="1" containsNumber="1" minValue="1.8607567631014901E-4" maxValue="4.9392552886209501E-2"/>
    </cacheField>
    <cacheField name="Transportation modes" numFmtId="0">
      <sharedItems containsBlank="1"/>
    </cacheField>
    <cacheField name="Routes" numFmtId="0">
      <sharedItems containsBlank="1"/>
    </cacheField>
    <cacheField name="Costs" numFmtId="2">
      <sharedItems containsString="0" containsBlank="1" containsNumber="1" minValue="103.91624796070495" maxValue="997.4134501331946"/>
    </cacheField>
    <cacheField name="Check_MLT_vs_L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gy gygy" refreshedDate="46125.991458680553" createdVersion="8" refreshedVersion="8" minRefreshableVersion="3" recordCount="101" xr:uid="{7B45495A-EA69-46A7-92D4-43D2409531DA}">
  <cacheSource type="worksheet">
    <worksheetSource ref="A1:AD1048576" sheet="Supply Chain Dataset"/>
  </cacheSource>
  <cacheFields count="31">
    <cacheField name="Product type" numFmtId="0">
      <sharedItems containsBlank="1" count="4">
        <s v="Haircare"/>
        <s v="Skincare"/>
        <s v="Cosmetics"/>
        <m/>
      </sharedItems>
    </cacheField>
    <cacheField name="SKU" numFmtId="0">
      <sharedItems containsBlank="1" count="101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m/>
      </sharedItems>
    </cacheField>
    <cacheField name="Price" numFmtId="2">
      <sharedItems containsString="0" containsBlank="1" containsNumber="1" minValue="1.6999760138659377" maxValue="99.171328638624189"/>
    </cacheField>
    <cacheField name="Availability" numFmtId="9">
      <sharedItems containsString="0" containsBlank="1" containsNumber="1" minValue="0.01" maxValue="1"/>
    </cacheField>
    <cacheField name="Number of products sold" numFmtId="0">
      <sharedItems containsString="0" containsBlank="1" containsNumber="1" containsInteger="1" minValue="8" maxValue="996"/>
    </cacheField>
    <cacheField name="Revenue raw" numFmtId="2">
      <sharedItems containsString="0" containsBlank="1" containsNumber="1" minValue="1061.618523013288" maxValue="9866.465457979697"/>
    </cacheField>
    <cacheField name="Revenue calculated" numFmtId="2">
      <sharedItems containsString="0" containsBlank="1" containsNumber="1" minValue="90.557466344724531" maxValue="87098.043651651838"/>
    </cacheField>
    <cacheField name="Revenue Gap" numFmtId="2">
      <sharedItems containsString="0" containsBlank="1" containsNumber="1" minValue="-80910.097467415661" maxValue="9487.1921595240055"/>
    </cacheField>
    <cacheField name="Customer demographics" numFmtId="0">
      <sharedItems containsBlank="1" count="5">
        <s v="Non-binary"/>
        <s v="Female"/>
        <s v="Unknown"/>
        <s v="Male"/>
        <m/>
      </sharedItems>
    </cacheField>
    <cacheField name="Stock levels" numFmtId="1">
      <sharedItems containsString="0" containsBlank="1" containsNumber="1" containsInteger="1" minValue="0" maxValue="100"/>
    </cacheField>
    <cacheField name="Lead times" numFmtId="1">
      <sharedItems containsString="0" containsBlank="1" containsNumber="1" containsInteger="1" minValue="1" maxValue="30"/>
    </cacheField>
    <cacheField name="Actual Lead time" numFmtId="1">
      <sharedItems containsString="0" containsBlank="1" containsNumber="1" containsInteger="1" minValue="5" maxValue="58"/>
    </cacheField>
    <cacheField name="Order quantities" numFmtId="1">
      <sharedItems containsString="0" containsBlank="1" containsNumber="1" containsInteger="1" minValue="1" maxValue="96"/>
    </cacheField>
    <cacheField name="Shipping times" numFmtId="0">
      <sharedItems containsString="0" containsBlank="1" containsNumber="1" containsInteger="1" minValue="1" maxValue="10"/>
    </cacheField>
    <cacheField name="Shipping carriers" numFmtId="0">
      <sharedItems containsBlank="1"/>
    </cacheField>
    <cacheField name="Shipping costs" numFmtId="2">
      <sharedItems containsString="0" containsBlank="1" containsNumber="1" minValue="1.0134865660958963" maxValue="9.9298162452772587"/>
    </cacheField>
    <cacheField name="Supplier name" numFmtId="0">
      <sharedItems containsBlank="1"/>
    </cacheField>
    <cacheField name="Location" numFmtId="0">
      <sharedItems containsBlank="1"/>
    </cacheField>
    <cacheField name="Supplier lead time" numFmtId="1">
      <sharedItems containsString="0" containsBlank="1" containsNumber="1" containsInteger="1" minValue="1" maxValue="30"/>
    </cacheField>
    <cacheField name="Production volumes" numFmtId="1">
      <sharedItems containsString="0" containsBlank="1" containsNumber="1" containsInteger="1" minValue="104" maxValue="985"/>
    </cacheField>
    <cacheField name="Manufacturing lead time" numFmtId="1">
      <sharedItems containsString="0" containsBlank="1" containsNumber="1" containsInteger="1" minValue="1" maxValue="30"/>
    </cacheField>
    <cacheField name="Manufacturing costs" numFmtId="2">
      <sharedItems containsString="0" containsBlank="1" containsNumber="1" minValue="1.0850685695870688" maxValue="99.466108603599125"/>
    </cacheField>
    <cacheField name="Inspection results" numFmtId="0">
      <sharedItems containsBlank="1"/>
    </cacheField>
    <cacheField name="Defect rates" numFmtId="10">
      <sharedItems containsString="0" containsBlank="1" containsNumber="1" minValue="1.8607567631014901E-4" maxValue="4.9392552886209501E-2"/>
    </cacheField>
    <cacheField name="Transportation modes" numFmtId="0">
      <sharedItems containsBlank="1"/>
    </cacheField>
    <cacheField name="Routes" numFmtId="0">
      <sharedItems containsBlank="1"/>
    </cacheField>
    <cacheField name="Costs" numFmtId="2">
      <sharedItems containsString="0" containsBlank="1" containsNumber="1" minValue="103.91624796070495" maxValue="997.4134501331946"/>
    </cacheField>
    <cacheField name="Check_MLT_vs_LT" numFmtId="0">
      <sharedItems containsString="0" containsBlank="1" containsNumber="1" containsInteger="1" minValue="0" maxValue="1"/>
    </cacheField>
    <cacheField name="Adjusted Lead Time" numFmtId="1">
      <sharedItems containsString="0" containsBlank="1" containsNumber="1" containsInteger="1" minValue="3" maxValue="38"/>
    </cacheField>
    <cacheField name="Profit" numFmtId="0" formula="'Revenue calculated'-Costs" databaseField="0"/>
    <cacheField name="Margin" numFmtId="0" formula="Profit/'Revenue calculated'" databaseField="0"/>
  </cacheFields>
  <extLst>
    <ext xmlns:x14="http://schemas.microsoft.com/office/spreadsheetml/2009/9/main" uri="{725AE2AE-9491-48be-B2B4-4EB974FC3084}">
      <x14:pivotCacheDefinition pivotCacheId="179338876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gy gygy" refreshedDate="46126.692323379626" missingItemsLimit="0" createdVersion="8" refreshedVersion="8" minRefreshableVersion="3" recordCount="100" xr:uid="{46001FB4-98C4-4D35-BBA1-06AFF7751B21}">
  <cacheSource type="worksheet">
    <worksheetSource name="supply_chain_data__1"/>
  </cacheSource>
  <cacheFields count="35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2">
      <sharedItems containsSemiMixedTypes="0" containsString="0" containsNumber="1" minValue="1.6999760138659377" maxValue="99.171328638624189"/>
    </cacheField>
    <cacheField name="Availability" numFmtId="9">
      <sharedItems containsSemiMixedTypes="0" containsString="0" containsNumber="1" minValue="0.01" maxValue="1"/>
    </cacheField>
    <cacheField name="Number of products sold" numFmtId="0">
      <sharedItems containsSemiMixedTypes="0" containsString="0" containsNumber="1" containsInteger="1" minValue="8" maxValue="996"/>
    </cacheField>
    <cacheField name="Revenue raw" numFmtId="2">
      <sharedItems containsSemiMixedTypes="0" containsString="0" containsNumber="1" minValue="1061.618523013288" maxValue="9866.465457979697"/>
    </cacheField>
    <cacheField name="Revenue calculated" numFmtId="2">
      <sharedItems containsSemiMixedTypes="0" containsString="0" containsNumber="1" minValue="90.557466344724531" maxValue="87098.043651651838" count="100">
        <n v="55986.020444776841"/>
        <n v="10924.833130462073"/>
        <n v="90.557466344724531"/>
        <n v="5076.5574703643324"/>
        <n v="4185.5870476572727"/>
        <n v="249.89647403829284"/>
        <n v="265.09163610201642"/>
        <n v="18300.271746927989"/>
        <n v="10307.6395122791"/>
        <n v="62735.418282452971"/>
        <n v="15644.964499184489"/>
        <n v="87010.041582997117"/>
        <n v="23927.69872932099"/>
        <n v="4023.9379360276143"/>
        <n v="55734.286694906797"/>
        <n v="17347.955871526021"/>
        <n v="2113.2081907415563"/>
        <n v="10264.279330523865"/>
        <n v="22595.049217685781"/>
        <n v="9560.1637064494062"/>
        <n v="30829.143180788284"/>
        <n v="51021.215259955447"/>
        <n v="24468.926303667733"/>
        <n v="1690.8174036728881"/>
        <n v="868.66844709602162"/>
        <n v="5627.3668458831526"/>
        <n v="34398.772156116167"/>
        <n v="32580.191005965513"/>
        <n v="944.52623400527364"/>
        <n v="16052.232473857455"/>
        <n v="2623.4749618421306"/>
        <n v="8542.3620326887412"/>
        <n v="61862.960028227899"/>
        <n v="39913.987960095852"/>
        <n v="22555.490582565162"/>
        <n v="38146.046280541348"/>
        <n v="9449.9214833401511"/>
        <n v="22534.050496767617"/>
        <n v="36713.531131308999"/>
        <n v="3366.4359987848929"/>
        <n v="75145.14875148733"/>
        <n v="55106.990138116344"/>
        <n v="7212.0209802500995"/>
        <n v="7022.4765222329252"/>
        <n v="47195.971849148445"/>
        <n v="810.81931279357218"/>
        <n v="23263.615984704564"/>
        <n v="87098.043651651838"/>
        <n v="2205.03078837986"/>
        <n v="7810.8934073583641"/>
        <n v="8990.8055396203126"/>
        <n v="4111.9171897591068"/>
        <n v="80386.100318301367"/>
        <n v="7342.6359121138394"/>
        <n v="19372.963245669813"/>
        <n v="55978.395896893388"/>
        <n v="1951.7339014450342"/>
        <n v="11182.747614616654"/>
        <n v="53618.038994051225"/>
        <n v="30892.944800292109"/>
        <n v="6470.6506096717067"/>
        <n v="6087.3637386855062"/>
        <n v="19655.015568008588"/>
        <n v="3202.2746891808129"/>
        <n v="12010.968811490133"/>
        <n v="15399.85676343591"/>
        <n v="18328.548320869308"/>
        <n v="45018.536797602552"/>
        <n v="6182.8854183948224"/>
        <n v="28036.285072222665"/>
        <n v="1533.2653383698805"/>
        <n v="4065.0366246704543"/>
        <n v="43117.716354812415"/>
        <n v="31444.131630489224"/>
        <n v="2865.690317863804"/>
        <n v="9857.6697288008909"/>
        <n v="16655.220690930706"/>
        <n v="20624.457722270759"/>
        <n v="5966.3114846018716"/>
        <n v="11297.292181778439"/>
        <n v="79463.893601587464"/>
        <n v="56362.066164066302"/>
        <n v="5723.7367284612201"/>
        <n v="45688.156238294992"/>
        <n v="55066.498986519189"/>
        <n v="1924.074860379847"/>
        <n v="4459.5934577101416"/>
        <n v="6352.7088953781031"/>
        <n v="55474.289941109331"/>
        <n v="13099.851467979781"/>
        <n v="4442.2123204349255"/>
        <n v="56894.560364988996"/>
        <n v="13169.128328926385"/>
        <n v="7899.1547343312259"/>
        <n v="2998.1987712112059"/>
        <n v="52351.439091468892"/>
        <n v="7913.0945802009755"/>
        <n v="218.61889806689177"/>
        <n v="18035.954243460164"/>
        <n v="42960.681102446455"/>
      </sharedItems>
    </cacheField>
    <cacheField name="Revenue Gap" numFmtId="2">
      <sharedItems containsSemiMixedTypes="0" containsString="0" containsNumber="1" minValue="-80910.097467415661" maxValue="9487.1921595240055"/>
    </cacheField>
    <cacheField name="Customer demographics" numFmtId="0">
      <sharedItems/>
    </cacheField>
    <cacheField name="Stock levels" numFmtId="1">
      <sharedItems containsSemiMixedTypes="0" containsString="0" containsNumber="1" containsInteger="1" minValue="0" maxValue="100"/>
    </cacheField>
    <cacheField name="Lead times" numFmtId="1">
      <sharedItems containsSemiMixedTypes="0" containsString="0" containsNumber="1" containsInteger="1" minValue="1" maxValue="30"/>
    </cacheField>
    <cacheField name="Actual Lead time" numFmtId="1">
      <sharedItems containsSemiMixedTypes="0" containsString="0" containsNumber="1" containsInteger="1" minValue="5" maxValue="58"/>
    </cacheField>
    <cacheField name="Order quantities" numFmtId="1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 count="3">
        <s v="Carrier B"/>
        <s v="Carrier A"/>
        <s v="Carrier C"/>
      </sharedItems>
    </cacheField>
    <cacheField name="Shipping costs" numFmtId="2">
      <sharedItems containsSemiMixedTypes="0" containsString="0" containsNumber="1" minValue="1.0134865660958963" maxValue="9.9298162452772587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Supplier lead time" numFmtId="1">
      <sharedItems containsSemiMixedTypes="0" containsString="0" containsNumber="1" containsInteger="1" minValue="1" maxValue="30"/>
    </cacheField>
    <cacheField name="Production volumes" numFmtId="1">
      <sharedItems containsSemiMixedTypes="0" containsString="0" containsNumber="1" containsInteger="1" minValue="104" maxValue="985"/>
    </cacheField>
    <cacheField name="Manufacturing lead time" numFmtId="1">
      <sharedItems containsSemiMixedTypes="0" containsString="0" containsNumber="1" containsInteger="1" minValue="1" maxValue="30"/>
    </cacheField>
    <cacheField name="Manufacturing costs" numFmtId="2">
      <sharedItems containsSemiMixedTypes="0" containsString="0" containsNumber="1" minValue="1.0850685695870688" maxValue="99.466108603599125"/>
    </cacheField>
    <cacheField name="Inspection results" numFmtId="0">
      <sharedItems/>
    </cacheField>
    <cacheField name="Defect rates" numFmtId="10">
      <sharedItems containsSemiMixedTypes="0" containsString="0" containsNumber="1" minValue="1.8607567631014901E-4" maxValue="4.9392552886209501E-2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/>
    </cacheField>
    <cacheField name="Costs" numFmtId="2">
      <sharedItems containsSemiMixedTypes="0" containsString="0" containsNumber="1" minValue="103.91624796070495" maxValue="997.4134501331946"/>
    </cacheField>
    <cacheField name="Check_MLT_vs_LT" numFmtId="0">
      <sharedItems containsSemiMixedTypes="0" containsString="0" containsNumber="1" containsInteger="1" minValue="0" maxValue="1"/>
    </cacheField>
    <cacheField name="Adjusted Lead Time" numFmtId="1">
      <sharedItems containsSemiMixedTypes="0" containsString="0" containsNumber="1" containsInteger="1" minValue="3" maxValue="38"/>
    </cacheField>
    <cacheField name="Total Defects" numFmtId="0">
      <sharedItems containsSemiMixedTypes="0" containsString="0" containsNumber="1" containsInteger="1" minValue="0" maxValue="44"/>
    </cacheField>
    <cacheField name="Ratio" numFmtId="0" formula="'Stock levels'/'Number of products sold'" databaseField="0"/>
    <cacheField name="Gap" numFmtId="0" formula="'Number of products sold'/'Stock levels'" databaseField="0"/>
    <cacheField name="Field1" numFmtId="0" formula="'Total Defects'/'Production volumes'" databaseField="0"/>
    <cacheField name="Production Gap " numFmtId="0" formula="'Production volumes'-'Number of products sold'" databaseField="0"/>
    <cacheField name="Stock Avaibility" numFmtId="0" formula="'Stock levels'/'Number of products sold'" databaseField="0"/>
  </cacheFields>
  <extLst>
    <ext xmlns:x14="http://schemas.microsoft.com/office/spreadsheetml/2009/9/main" uri="{725AE2AE-9491-48be-B2B4-4EB974FC3084}">
      <x14:pivotCacheDefinition pivotCacheId="1198027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Haircare"/>
    <s v="SKU0"/>
    <n v="69.808005542115765"/>
    <n v="0.55000000000000004"/>
    <n v="802"/>
    <n v="8661.9967923923832"/>
    <n v="55986.020444776841"/>
    <n v="-47324.023652384458"/>
    <s v="Non-binary"/>
    <n v="58"/>
    <n v="7"/>
    <n v="58"/>
    <n v="96"/>
    <n v="4"/>
    <s v="Carrier B"/>
    <n v="2.9565721394308069"/>
    <s v="Supplier 3"/>
    <s v="Mumbai"/>
    <n v="29"/>
    <n v="215"/>
    <n v="29"/>
    <n v="46.279879240508322"/>
    <s v="Pending"/>
    <n v="2.2641036084992501E-3"/>
    <s v="Road"/>
    <s v="Route B"/>
    <n v="187.75207545920392"/>
    <n v="1"/>
  </r>
  <r>
    <s v="Skincare"/>
    <s v="SKU1"/>
    <n v="14.843523275084339"/>
    <n v="0.95"/>
    <n v="736"/>
    <n v="7460.9000654458487"/>
    <n v="10924.833130462073"/>
    <n v="-3463.9330650162246"/>
    <s v="Female"/>
    <n v="53"/>
    <n v="30"/>
    <n v="53"/>
    <n v="37"/>
    <n v="2"/>
    <s v="Carrier A"/>
    <n v="9.7165747714313095"/>
    <s v="Supplier 3"/>
    <s v="Mumbai"/>
    <n v="23"/>
    <n v="517"/>
    <n v="30"/>
    <n v="33.616768953730002"/>
    <s v="Pending"/>
    <n v="4.8540680263887102E-2"/>
    <s v="Road"/>
    <s v="Route B"/>
    <n v="503.06557914966919"/>
    <n v="0"/>
  </r>
  <r>
    <s v="Haircare"/>
    <s v="SKU2"/>
    <n v="11.319683293090566"/>
    <n v="0.34"/>
    <n v="8"/>
    <n v="9577.7496258687297"/>
    <n v="90.557466344724531"/>
    <n v="9487.1921595240055"/>
    <s v="Unknown"/>
    <n v="1"/>
    <n v="10"/>
    <n v="39"/>
    <n v="88"/>
    <n v="2"/>
    <s v="Carrier B"/>
    <n v="8.0544792617321548"/>
    <s v="Supplier 1"/>
    <s v="Mumbai"/>
    <n v="12"/>
    <n v="971"/>
    <n v="27"/>
    <n v="30.688019348284204"/>
    <s v="Pending"/>
    <n v="4.5805926191992301E-2"/>
    <s v="Air"/>
    <s v="Route C"/>
    <n v="141.92028177151906"/>
    <n v="1"/>
  </r>
  <r>
    <s v="Skincare"/>
    <s v="SKU3"/>
    <n v="61.163343016437736"/>
    <n v="0.68"/>
    <n v="83"/>
    <n v="7766.8364256852328"/>
    <n v="5076.5574703643324"/>
    <n v="2690.2789553209004"/>
    <s v="Non-binary"/>
    <n v="23"/>
    <n v="13"/>
    <n v="42"/>
    <n v="59"/>
    <n v="6"/>
    <s v="Carrier C"/>
    <n v="1.7295685635434288"/>
    <s v="Supplier 5"/>
    <s v="Kolkata"/>
    <n v="24"/>
    <n v="937"/>
    <n v="18"/>
    <n v="35.624741397125028"/>
    <s v="Fail"/>
    <n v="4.7466486206477497E-2"/>
    <s v="Rail"/>
    <s v="Route A"/>
    <n v="254.77615921928663"/>
    <n v="1"/>
  </r>
  <r>
    <s v="Skincare"/>
    <s v="SKU4"/>
    <n v="4.8054960363458932"/>
    <n v="0.26"/>
    <n v="871"/>
    <n v="2686.5051515674468"/>
    <n v="4185.5870476572727"/>
    <n v="-1499.0818960898259"/>
    <s v="Non-binary"/>
    <n v="5"/>
    <n v="3"/>
    <n v="8"/>
    <n v="56"/>
    <n v="8"/>
    <s v="Carrier A"/>
    <n v="3.8905479158706715"/>
    <s v="Supplier 1"/>
    <s v="Delhi"/>
    <n v="5"/>
    <n v="414"/>
    <n v="3"/>
    <n v="92.065160598712851"/>
    <s v="Fail"/>
    <n v="3.1455795228330002E-2"/>
    <s v="Air"/>
    <s v="Route A"/>
    <n v="923.44063171192215"/>
    <n v="0"/>
  </r>
  <r>
    <s v="Haircare"/>
    <s v="SKU5"/>
    <n v="1.6999760138659377"/>
    <n v="0.87"/>
    <n v="147"/>
    <n v="2828.3487459757589"/>
    <n v="249.89647403829284"/>
    <n v="2578.4522719374659"/>
    <s v="Non-binary"/>
    <n v="90"/>
    <n v="27"/>
    <n v="27"/>
    <n v="66"/>
    <n v="3"/>
    <s v="Carrier B"/>
    <n v="4.4440988643822932"/>
    <s v="Supplier 4"/>
    <s v="Bangalore"/>
    <n v="10"/>
    <n v="104"/>
    <n v="17"/>
    <n v="56.766475557431797"/>
    <s v="Fail"/>
    <n v="2.77919351157116E-2"/>
    <s v="Road"/>
    <s v="Route A"/>
    <n v="235.46123673553751"/>
    <n v="0"/>
  </r>
  <r>
    <s v="Skincare"/>
    <s v="SKU6"/>
    <n v="4.0783328631079447"/>
    <n v="0.48"/>
    <n v="65"/>
    <n v="7823.4765595317367"/>
    <n v="265.09163610201642"/>
    <n v="7558.3849234297204"/>
    <s v="Male"/>
    <n v="11"/>
    <n v="15"/>
    <n v="38"/>
    <n v="58"/>
    <n v="8"/>
    <s v="Carrier C"/>
    <n v="3.8807633029520034"/>
    <s v="Supplier 3"/>
    <s v="Kolkata"/>
    <n v="14"/>
    <n v="314"/>
    <n v="24"/>
    <n v="1.0850685695870688"/>
    <s v="Pending"/>
    <n v="1.0009106193041401E-2"/>
    <s v="Sea"/>
    <s v="Route A"/>
    <n v="134.36909686103172"/>
    <n v="1"/>
  </r>
  <r>
    <s v="Cosmetics"/>
    <s v="SKU7"/>
    <n v="42.958384382460068"/>
    <n v="0.59"/>
    <n v="426"/>
    <n v="8496.1038130898378"/>
    <n v="18300.271746927989"/>
    <n v="-9804.1679338381509"/>
    <s v="Female"/>
    <n v="93"/>
    <n v="17"/>
    <n v="23"/>
    <n v="11"/>
    <n v="1"/>
    <s v="Carrier B"/>
    <n v="2.3483387844177805"/>
    <s v="Supplier 4"/>
    <s v="Bangalore"/>
    <n v="22"/>
    <n v="564"/>
    <n v="1"/>
    <n v="99.466108603599125"/>
    <s v="Fail"/>
    <n v="3.98177186850651E-3"/>
    <s v="Road"/>
    <s v="Route C"/>
    <n v="802.05631181755859"/>
    <n v="0"/>
  </r>
  <r>
    <s v="Cosmetics"/>
    <s v="SKU8"/>
    <n v="68.717596748527328"/>
    <n v="0.78"/>
    <n v="150"/>
    <n v="7517.363210631127"/>
    <n v="10307.6395122791"/>
    <n v="-2790.276301647973"/>
    <s v="Female"/>
    <n v="5"/>
    <n v="10"/>
    <n v="21"/>
    <n v="15"/>
    <n v="7"/>
    <s v="Carrier C"/>
    <n v="3.4047338570830266"/>
    <s v="Supplier 4"/>
    <s v="Mumbai"/>
    <n v="13"/>
    <n v="769"/>
    <n v="8"/>
    <n v="11.423027139565695"/>
    <s v="Pending"/>
    <n v="2.7098626911099599E-2"/>
    <s v="Sea"/>
    <s v="Route B"/>
    <n v="505.55713422546415"/>
    <n v="0"/>
  </r>
  <r>
    <s v="Skincare"/>
    <s v="SKU9"/>
    <n v="64.015732941278543"/>
    <n v="0.35"/>
    <n v="980"/>
    <n v="4971.145987585558"/>
    <n v="62735.418282452971"/>
    <n v="-57764.272294867413"/>
    <s v="Unknown"/>
    <n v="14"/>
    <n v="27"/>
    <n v="52"/>
    <n v="83"/>
    <n v="1"/>
    <s v="Carrier A"/>
    <n v="7.1666452910482157"/>
    <s v="Supplier 2"/>
    <s v="Chennai"/>
    <n v="29"/>
    <n v="963"/>
    <n v="23"/>
    <n v="47.95760163495158"/>
    <s v="Pending"/>
    <n v="3.8446144787675801E-2"/>
    <s v="Rail"/>
    <s v="Route B"/>
    <n v="995.92946149864167"/>
    <n v="0"/>
  </r>
  <r>
    <s v="Skincare"/>
    <s v="SKU10"/>
    <n v="15.707795681912138"/>
    <n v="0.11"/>
    <n v="996"/>
    <n v="2330.9658020919492"/>
    <n v="15644.964499184489"/>
    <n v="-13313.99869709254"/>
    <s v="Non-binary"/>
    <n v="51"/>
    <n v="13"/>
    <n v="23"/>
    <n v="80"/>
    <n v="2"/>
    <s v="Carrier C"/>
    <n v="8.6732112112786126"/>
    <s v="Supplier 5"/>
    <s v="Kolkata"/>
    <n v="18"/>
    <n v="830"/>
    <n v="5"/>
    <n v="96.52735278531091"/>
    <s v="Pass"/>
    <n v="1.7273139283559402E-2"/>
    <s v="Road"/>
    <s v="Route B"/>
    <n v="806.10317770292295"/>
    <n v="0"/>
  </r>
  <r>
    <s v="Skincare"/>
    <s v="SKU11"/>
    <n v="90.635459982288666"/>
    <n v="0.95"/>
    <n v="960"/>
    <n v="6099.944115581452"/>
    <n v="87010.041582997117"/>
    <n v="-80910.097467415661"/>
    <s v="Female"/>
    <n v="46"/>
    <n v="23"/>
    <n v="39"/>
    <n v="60"/>
    <n v="1"/>
    <s v="Carrier A"/>
    <n v="4.5239431243166628"/>
    <s v="Supplier 2"/>
    <s v="Kolkata"/>
    <n v="28"/>
    <n v="362"/>
    <n v="11"/>
    <n v="27.592363086663696"/>
    <s v="Pending"/>
    <n v="2.11698213729944E-4"/>
    <s v="Air"/>
    <s v="Route A"/>
    <n v="126.72303340940725"/>
    <n v="0"/>
  </r>
  <r>
    <s v="Haircare"/>
    <s v="SKU12"/>
    <n v="71.213389075360084"/>
    <n v="0.41"/>
    <n v="336"/>
    <n v="2873.7414460214413"/>
    <n v="23927.69872932099"/>
    <n v="-21053.957283299547"/>
    <s v="Unknown"/>
    <n v="100"/>
    <n v="30"/>
    <n v="6"/>
    <n v="85"/>
    <n v="4"/>
    <s v="Carrier A"/>
    <n v="1.325274010184522"/>
    <s v="Supplier 4"/>
    <s v="Kolkata"/>
    <n v="3"/>
    <n v="563"/>
    <n v="3"/>
    <n v="32.321286213424031"/>
    <s v="Fail"/>
    <n v="2.16125374755591E-2"/>
    <s v="Road"/>
    <s v="Route B"/>
    <n v="402.96878907377061"/>
    <n v="0"/>
  </r>
  <r>
    <s v="Skincare"/>
    <s v="SKU13"/>
    <n v="16.160393317379977"/>
    <n v="0.05"/>
    <n v="249"/>
    <n v="4052.7384162378667"/>
    <n v="4023.9379360276143"/>
    <n v="28.800480210252317"/>
    <s v="Male"/>
    <n v="80"/>
    <n v="8"/>
    <n v="33"/>
    <n v="48"/>
    <n v="9"/>
    <s v="Carrier A"/>
    <n v="9.5372830611083383"/>
    <s v="Supplier 5"/>
    <s v="Bangalore"/>
    <n v="23"/>
    <n v="173"/>
    <n v="10"/>
    <n v="97.82905011017327"/>
    <s v="Pending"/>
    <n v="1.63107423007154E-2"/>
    <s v="Road"/>
    <s v="Route B"/>
    <n v="547.24100516096848"/>
    <n v="1"/>
  </r>
  <r>
    <s v="Skincare"/>
    <s v="SKU14"/>
    <n v="99.171328638624189"/>
    <n v="0.26"/>
    <n v="562"/>
    <n v="8653.5709264698016"/>
    <n v="55734.286694906797"/>
    <n v="-47080.715768436996"/>
    <s v="Non-binary"/>
    <n v="54"/>
    <n v="29"/>
    <n v="39"/>
    <n v="78"/>
    <n v="5"/>
    <s v="Carrier B"/>
    <n v="2.0397701894493316"/>
    <s v="Supplier 1"/>
    <s v="Kolkata"/>
    <n v="25"/>
    <n v="558"/>
    <n v="14"/>
    <n v="5.7914366298629893"/>
    <s v="Pending"/>
    <n v="1.0068285156509399E-3"/>
    <s v="Air"/>
    <s v="Route B"/>
    <n v="929.23528996088965"/>
    <n v="0"/>
  </r>
  <r>
    <s v="Skincare"/>
    <s v="SKU15"/>
    <n v="36.98924492862691"/>
    <n v="0.94"/>
    <n v="469"/>
    <n v="5442.0867853976733"/>
    <n v="17347.955871526021"/>
    <n v="-11905.869086128347"/>
    <s v="Non-binary"/>
    <n v="9"/>
    <n v="8"/>
    <n v="21"/>
    <n v="69"/>
    <n v="7"/>
    <s v="Carrier B"/>
    <n v="2.4220397232752044"/>
    <s v="Supplier 1"/>
    <s v="Bangalore"/>
    <n v="14"/>
    <n v="580"/>
    <n v="7"/>
    <n v="97.121281751474314"/>
    <s v="Pass"/>
    <n v="2.2644057611985499E-2"/>
    <s v="Sea"/>
    <s v="Route B"/>
    <n v="127.86180000162541"/>
    <n v="0"/>
  </r>
  <r>
    <s v="Skincare"/>
    <s v="SKU16"/>
    <n v="7.5471721097912718"/>
    <n v="0.74"/>
    <n v="280"/>
    <n v="6453.7979681762854"/>
    <n v="2113.2081907415563"/>
    <n v="4340.5897774347286"/>
    <s v="Female"/>
    <n v="2"/>
    <n v="5"/>
    <n v="24"/>
    <n v="78"/>
    <n v="1"/>
    <s v="Carrier B"/>
    <n v="4.1913245857055017"/>
    <s v="Supplier 1"/>
    <s v="Bangalore"/>
    <n v="3"/>
    <n v="399"/>
    <n v="21"/>
    <n v="77.106342497850008"/>
    <s v="Pass"/>
    <n v="1.0125630892580499E-2"/>
    <s v="Air"/>
    <s v="Route A"/>
    <n v="865.52577977124031"/>
    <n v="1"/>
  </r>
  <r>
    <s v="Cosmetics"/>
    <s v="SKU17"/>
    <n v="81.462534369237019"/>
    <n v="0.82"/>
    <n v="126"/>
    <n v="2629.3964348452619"/>
    <n v="10264.279330523865"/>
    <n v="-7634.8828956786028"/>
    <s v="Female"/>
    <n v="45"/>
    <n v="17"/>
    <n v="23"/>
    <n v="85"/>
    <n v="9"/>
    <s v="Carrier C"/>
    <n v="3.5854189582323421"/>
    <s v="Supplier 1"/>
    <s v="Chennai"/>
    <n v="7"/>
    <n v="453"/>
    <n v="16"/>
    <n v="47.679680368355335"/>
    <s v="Fail"/>
    <n v="1.0202075491817599E-3"/>
    <s v="Air"/>
    <s v="Route C"/>
    <n v="670.93439079241034"/>
    <n v="0"/>
  </r>
  <r>
    <s v="Haircare"/>
    <s v="SKU18"/>
    <n v="36.443627770460935"/>
    <n v="0.23"/>
    <n v="620"/>
    <n v="9364.6735050761727"/>
    <n v="22595.049217685781"/>
    <n v="-13230.375712609608"/>
    <s v="Unknown"/>
    <n v="10"/>
    <n v="10"/>
    <n v="35"/>
    <n v="46"/>
    <n v="8"/>
    <s v="Carrier C"/>
    <n v="4.339224714110709"/>
    <s v="Supplier 2"/>
    <s v="Kolkata"/>
    <n v="18"/>
    <n v="374"/>
    <n v="17"/>
    <n v="27.10798085484392"/>
    <s v="Pending"/>
    <n v="2.2319391107292599E-2"/>
    <s v="Sea"/>
    <s v="Route A"/>
    <n v="593.48025872065182"/>
    <n v="1"/>
  </r>
  <r>
    <s v="Skincare"/>
    <s v="SKU19"/>
    <n v="51.12387008796474"/>
    <n v="1"/>
    <n v="187"/>
    <n v="2553.4955849912149"/>
    <n v="9560.1637064494062"/>
    <n v="-7006.6681214581913"/>
    <s v="Unknown"/>
    <n v="48"/>
    <n v="11"/>
    <n v="36"/>
    <n v="94"/>
    <n v="3"/>
    <s v="Carrier A"/>
    <n v="4.7426358828418769"/>
    <s v="Supplier 4"/>
    <s v="Chennai"/>
    <n v="20"/>
    <n v="694"/>
    <n v="16"/>
    <n v="82.373320587990207"/>
    <s v="Fail"/>
    <n v="3.6464508654170301E-2"/>
    <s v="Road"/>
    <s v="Route C"/>
    <n v="477.30763109090344"/>
    <n v="1"/>
  </r>
  <r>
    <s v="Skincare"/>
    <s v="SKU20"/>
    <n v="96.341072439963384"/>
    <n v="0.22"/>
    <n v="320"/>
    <n v="8128.0276968511916"/>
    <n v="30829.143180788284"/>
    <n v="-22701.115483937094"/>
    <s v="Unknown"/>
    <n v="27"/>
    <n v="12"/>
    <n v="35"/>
    <n v="68"/>
    <n v="6"/>
    <s v="Carrier A"/>
    <n v="8.8783346509268402"/>
    <s v="Supplier 1"/>
    <s v="Chennai"/>
    <n v="29"/>
    <n v="309"/>
    <n v="6"/>
    <n v="65.686259608488626"/>
    <s v="Pass"/>
    <n v="4.2314165735345403E-2"/>
    <s v="Air"/>
    <s v="Route B"/>
    <n v="493.87121531620585"/>
    <n v="0"/>
  </r>
  <r>
    <s v="Cosmetics"/>
    <s v="SKU21"/>
    <n v="84.893868984950828"/>
    <n v="0.6"/>
    <n v="601"/>
    <n v="7087.0526963574366"/>
    <n v="51021.215259955447"/>
    <n v="-43934.162563598009"/>
    <s v="Unknown"/>
    <n v="69"/>
    <n v="25"/>
    <n v="23"/>
    <n v="7"/>
    <n v="6"/>
    <s v="Carrier B"/>
    <n v="6.0378837692182978"/>
    <s v="Supplier 5"/>
    <s v="Chennai"/>
    <n v="19"/>
    <n v="791"/>
    <n v="4"/>
    <n v="61.735728954160933"/>
    <s v="Pending"/>
    <n v="1.8607567631014901E-4"/>
    <s v="Air"/>
    <s v="Route C"/>
    <n v="523.36091472015801"/>
    <n v="0"/>
  </r>
  <r>
    <s v="Haircare"/>
    <s v="SKU22"/>
    <n v="27.679780886501959"/>
    <n v="0.55000000000000004"/>
    <n v="884"/>
    <n v="2390.8078665561734"/>
    <n v="24468.926303667733"/>
    <n v="-22078.11843711156"/>
    <s v="Unknown"/>
    <n v="71"/>
    <n v="1"/>
    <n v="50"/>
    <n v="63"/>
    <n v="10"/>
    <s v="Carrier A"/>
    <n v="9.5676489209230393"/>
    <s v="Supplier 4"/>
    <s v="Kolkata"/>
    <n v="22"/>
    <n v="780"/>
    <n v="28"/>
    <n v="50.120839612977349"/>
    <s v="Fail"/>
    <n v="2.5912754732111201E-2"/>
    <s v="Rail"/>
    <s v="Route C"/>
    <n v="205.57199582694707"/>
    <n v="1"/>
  </r>
  <r>
    <s v="Cosmetics"/>
    <s v="SKU23"/>
    <n v="4.3243411858641636"/>
    <n v="0.3"/>
    <n v="391"/>
    <n v="8858.367571011484"/>
    <n v="1690.8174036728881"/>
    <n v="7167.5501673385961"/>
    <s v="Unknown"/>
    <n v="84"/>
    <n v="5"/>
    <n v="40"/>
    <n v="29"/>
    <n v="7"/>
    <s v="Carrier A"/>
    <n v="2.924857601145554"/>
    <s v="Supplier 5"/>
    <s v="Kolkata"/>
    <n v="11"/>
    <n v="568"/>
    <n v="29"/>
    <n v="98.609957242703871"/>
    <s v="Pending"/>
    <n v="1.34229156272273E-2"/>
    <s v="Rail"/>
    <s v="Route A"/>
    <n v="196.32944611241268"/>
    <n v="1"/>
  </r>
  <r>
    <s v="Haircare"/>
    <s v="SKU24"/>
    <n v="4.1563083593111081"/>
    <n v="0.32"/>
    <n v="209"/>
    <n v="9049.0778609398967"/>
    <n v="868.66844709602162"/>
    <n v="8180.409413843875"/>
    <s v="Male"/>
    <n v="4"/>
    <n v="26"/>
    <n v="31"/>
    <n v="2"/>
    <n v="8"/>
    <s v="Carrier C"/>
    <n v="9.7412916892843686"/>
    <s v="Supplier 2"/>
    <s v="Bangalore"/>
    <n v="28"/>
    <n v="447"/>
    <n v="3"/>
    <n v="40.382359702924816"/>
    <s v="Pending"/>
    <n v="3.69131029262873E-2"/>
    <s v="Air"/>
    <s v="Route A"/>
    <n v="758.72477260293829"/>
    <n v="0"/>
  </r>
  <r>
    <s v="Haircare"/>
    <s v="SKU25"/>
    <n v="39.629343985092625"/>
    <n v="0.73"/>
    <n v="142"/>
    <n v="2174.777054350654"/>
    <n v="5627.3668458831526"/>
    <n v="-3452.5897915324986"/>
    <s v="Male"/>
    <n v="82"/>
    <n v="11"/>
    <n v="42"/>
    <n v="52"/>
    <n v="3"/>
    <s v="Carrier C"/>
    <n v="2.2310736812817278"/>
    <s v="Supplier 4"/>
    <s v="Kolkata"/>
    <n v="19"/>
    <n v="934"/>
    <n v="23"/>
    <n v="78.280383118415386"/>
    <s v="Pending"/>
    <n v="3.7972312171141803E-2"/>
    <s v="Road"/>
    <s v="Route B"/>
    <n v="458.53594573920907"/>
    <n v="1"/>
  </r>
  <r>
    <s v="Haircare"/>
    <s v="SKU26"/>
    <n v="97.44694661789282"/>
    <n v="0.09"/>
    <n v="353"/>
    <n v="3716.4933258940368"/>
    <n v="34398.772156116167"/>
    <n v="-30682.278830222131"/>
    <s v="Male"/>
    <n v="59"/>
    <n v="16"/>
    <n v="30"/>
    <n v="48"/>
    <n v="4"/>
    <s v="Carrier B"/>
    <n v="6.5075486210785511"/>
    <s v="Supplier 2"/>
    <s v="Bangalore"/>
    <n v="26"/>
    <n v="171"/>
    <n v="4"/>
    <n v="15.972229757181761"/>
    <s v="Pass"/>
    <n v="2.11931973672492E-2"/>
    <s v="Rail"/>
    <s v="Route A"/>
    <n v="617.8669164583772"/>
    <n v="0"/>
  </r>
  <r>
    <s v="Cosmetics"/>
    <s v="SKU27"/>
    <n v="92.557360812402024"/>
    <n v="0.42"/>
    <n v="352"/>
    <n v="2686.4572235759833"/>
    <n v="32580.191005965513"/>
    <n v="-29893.733782389529"/>
    <s v="Unknown"/>
    <n v="47"/>
    <n v="9"/>
    <n v="29"/>
    <n v="62"/>
    <n v="8"/>
    <s v="Carrier C"/>
    <n v="7.406750952998074"/>
    <s v="Supplier 5"/>
    <s v="Mumbai"/>
    <n v="25"/>
    <n v="291"/>
    <n v="4"/>
    <n v="10.528245070042162"/>
    <s v="Fail"/>
    <n v="2.8646678378833699E-2"/>
    <s v="Sea"/>
    <s v="Route B"/>
    <n v="762.45918215568372"/>
    <n v="0"/>
  </r>
  <r>
    <s v="Cosmetics"/>
    <s v="SKU28"/>
    <n v="2.3972747055971411"/>
    <n v="0.12"/>
    <n v="394"/>
    <n v="6117.3246150839923"/>
    <n v="944.52623400527364"/>
    <n v="5172.7983810787191"/>
    <s v="Female"/>
    <n v="48"/>
    <n v="15"/>
    <n v="20"/>
    <n v="24"/>
    <n v="4"/>
    <s v="Carrier B"/>
    <n v="9.898140508069222"/>
    <s v="Supplier 1"/>
    <s v="Mumbai"/>
    <n v="13"/>
    <n v="171"/>
    <n v="7"/>
    <n v="59.429381810691567"/>
    <s v="Fail"/>
    <n v="8.1575707929567205E-3"/>
    <s v="Air"/>
    <s v="Route A"/>
    <n v="123.43702751182708"/>
    <n v="0"/>
  </r>
  <r>
    <s v="Cosmetics"/>
    <s v="SKU29"/>
    <n v="63.447559185207332"/>
    <n v="0.03"/>
    <n v="253"/>
    <n v="8318.9031946171781"/>
    <n v="16052.232473857455"/>
    <n v="-7733.3292792402772"/>
    <s v="Female"/>
    <n v="45"/>
    <n v="5"/>
    <n v="23"/>
    <n v="67"/>
    <n v="7"/>
    <s v="Carrier B"/>
    <n v="8.1009731453970311"/>
    <s v="Supplier 1"/>
    <s v="Kolkata"/>
    <n v="16"/>
    <n v="329"/>
    <n v="7"/>
    <n v="39.292875586065747"/>
    <s v="Pass"/>
    <n v="3.8780989365884901E-2"/>
    <s v="Road"/>
    <s v="Route B"/>
    <n v="764.93537594070813"/>
    <n v="1"/>
  </r>
  <r>
    <s v="Haircare"/>
    <s v="SKU30"/>
    <n v="8.0228592105263932"/>
    <n v="0.1"/>
    <n v="327"/>
    <n v="2766.3423668660889"/>
    <n v="2623.4749618421306"/>
    <n v="142.86740502395833"/>
    <s v="Male"/>
    <n v="60"/>
    <n v="26"/>
    <n v="57"/>
    <n v="35"/>
    <n v="7"/>
    <s v="Carrier B"/>
    <n v="8.9545283153180151"/>
    <s v="Supplier 4"/>
    <s v="Kolkata"/>
    <n v="27"/>
    <n v="806"/>
    <n v="30"/>
    <n v="51.634893400109334"/>
    <s v="Pending"/>
    <n v="9.6539470535239296E-3"/>
    <s v="Road"/>
    <s v="Route C"/>
    <n v="880.08098824716103"/>
    <n v="1"/>
  </r>
  <r>
    <s v="Skincare"/>
    <s v="SKU31"/>
    <n v="50.847393051718697"/>
    <n v="0.28000000000000003"/>
    <n v="168"/>
    <n v="9655.1351027193978"/>
    <n v="8542.3620326887412"/>
    <n v="1112.7730700306565"/>
    <s v="Male"/>
    <n v="6"/>
    <n v="17"/>
    <n v="32"/>
    <n v="44"/>
    <n v="4"/>
    <s v="Carrier B"/>
    <n v="2.6796609649814065"/>
    <s v="Supplier 3"/>
    <s v="Chennai"/>
    <n v="24"/>
    <n v="461"/>
    <n v="8"/>
    <n v="60.25114566159808"/>
    <s v="Pending"/>
    <n v="2.9890000066550799E-2"/>
    <s v="Rail"/>
    <s v="Route C"/>
    <n v="609.37920661842668"/>
    <n v="0"/>
  </r>
  <r>
    <s v="Skincare"/>
    <s v="SKU32"/>
    <n v="79.209936015656723"/>
    <n v="0.43"/>
    <n v="781"/>
    <n v="9571.5504873278187"/>
    <n v="61862.960028227899"/>
    <n v="-52291.40954090008"/>
    <s v="Unknown"/>
    <n v="89"/>
    <n v="13"/>
    <n v="37"/>
    <n v="64"/>
    <n v="4"/>
    <s v="Carrier C"/>
    <n v="6.5991049012385838"/>
    <s v="Supplier 3"/>
    <s v="Kolkata"/>
    <n v="30"/>
    <n v="737"/>
    <n v="7"/>
    <n v="29.692467153749774"/>
    <s v="Pass"/>
    <n v="1.94603611938611E-2"/>
    <s v="Road"/>
    <s v="Route A"/>
    <n v="761.17390951487755"/>
    <n v="0"/>
  </r>
  <r>
    <s v="Cosmetics"/>
    <s v="SKU33"/>
    <n v="64.795435000155607"/>
    <n v="0.63"/>
    <n v="616"/>
    <n v="5149.9983504080365"/>
    <n v="39913.987960095852"/>
    <n v="-34763.989609687815"/>
    <s v="Non-binary"/>
    <n v="4"/>
    <n v="17"/>
    <n v="24"/>
    <n v="95"/>
    <n v="9"/>
    <s v="Carrier C"/>
    <n v="4.85827050343664"/>
    <s v="Supplier 5"/>
    <s v="Chennai"/>
    <n v="1"/>
    <n v="251"/>
    <n v="23"/>
    <n v="23.853427512896133"/>
    <s v="Fail"/>
    <n v="3.5410460122509202E-2"/>
    <s v="Sea"/>
    <s v="Route A"/>
    <n v="371.25529551987103"/>
    <n v="1"/>
  </r>
  <r>
    <s v="Skincare"/>
    <s v="SKU34"/>
    <n v="37.467592329842461"/>
    <n v="0.96"/>
    <n v="602"/>
    <n v="9061.7108955077238"/>
    <n v="22555.490582565162"/>
    <n v="-13493.779687057438"/>
    <s v="Unknown"/>
    <n v="1"/>
    <n v="26"/>
    <n v="14"/>
    <n v="21"/>
    <n v="7"/>
    <s v="Carrier A"/>
    <n v="1.0194875708221189"/>
    <s v="Supplier 1"/>
    <s v="Chennai"/>
    <n v="4"/>
    <n v="452"/>
    <n v="10"/>
    <n v="10.754272815029333"/>
    <s v="Pass"/>
    <n v="6.4660455937205503E-3"/>
    <s v="Road"/>
    <s v="Route B"/>
    <n v="510.3580004335235"/>
    <n v="0"/>
  </r>
  <r>
    <s v="Cosmetics"/>
    <s v="SKU35"/>
    <n v="84.957786816350435"/>
    <n v="0.11"/>
    <n v="449"/>
    <n v="6541.3293448024651"/>
    <n v="38146.046280541348"/>
    <n v="-31604.716935738885"/>
    <s v="Female"/>
    <n v="42"/>
    <n v="27"/>
    <n v="5"/>
    <n v="85"/>
    <n v="8"/>
    <s v="Carrier C"/>
    <n v="5.2881899903274094"/>
    <s v="Supplier 1"/>
    <s v="Delhi"/>
    <n v="3"/>
    <n v="367"/>
    <n v="2"/>
    <n v="58.004787044743765"/>
    <s v="Pass"/>
    <n v="5.4115409806058104E-3"/>
    <s v="Sea"/>
    <s v="Route C"/>
    <n v="553.42047123035582"/>
    <n v="0"/>
  </r>
  <r>
    <s v="Skincare"/>
    <s v="SKU36"/>
    <n v="9.8130025787540518"/>
    <n v="0.34"/>
    <n v="963"/>
    <n v="7573.4024578487333"/>
    <n v="9449.9214833401511"/>
    <n v="-1876.5190254914178"/>
    <s v="Female"/>
    <n v="18"/>
    <n v="23"/>
    <n v="45"/>
    <n v="28"/>
    <n v="3"/>
    <s v="Carrier B"/>
    <n v="2.107951267159081"/>
    <s v="Supplier 2"/>
    <s v="Delhi"/>
    <n v="26"/>
    <n v="671"/>
    <n v="19"/>
    <n v="45.531364237162144"/>
    <s v="Fail"/>
    <n v="3.8055333792433498E-2"/>
    <s v="Air"/>
    <s v="Route C"/>
    <n v="403.8089742481805"/>
    <n v="0"/>
  </r>
  <r>
    <s v="Skincare"/>
    <s v="SKU37"/>
    <n v="23.399844752614349"/>
    <n v="0.05"/>
    <n v="963"/>
    <n v="2438.3399304700288"/>
    <n v="22534.050496767617"/>
    <n v="-20095.710566297588"/>
    <s v="Female"/>
    <n v="25"/>
    <n v="8"/>
    <n v="39"/>
    <n v="21"/>
    <n v="9"/>
    <s v="Carrier A"/>
    <n v="1.5326552735904306"/>
    <s v="Supplier 3"/>
    <s v="Kolkata"/>
    <n v="24"/>
    <n v="867"/>
    <n v="15"/>
    <n v="34.343277465075381"/>
    <s v="Pending"/>
    <n v="2.61028808484811E-2"/>
    <s v="Sea"/>
    <s v="Route A"/>
    <n v="183.93296804359437"/>
    <n v="1"/>
  </r>
  <r>
    <s v="Cosmetics"/>
    <s v="SKU38"/>
    <n v="52.075930682707799"/>
    <n v="0.75"/>
    <n v="705"/>
    <n v="9692.3180402184316"/>
    <n v="36713.531131308999"/>
    <n v="-27021.213091090569"/>
    <s v="Non-binary"/>
    <n v="69"/>
    <n v="1"/>
    <n v="22"/>
    <n v="88"/>
    <n v="5"/>
    <s v="Carrier B"/>
    <n v="9.2359314372492278"/>
    <s v="Supplier 5"/>
    <s v="Mumbai"/>
    <n v="10"/>
    <n v="841"/>
    <n v="12"/>
    <n v="5.9306936455283177"/>
    <s v="Pending"/>
    <n v="6.1332689916450698E-3"/>
    <s v="Air"/>
    <s v="Route B"/>
    <n v="339.67286994860615"/>
    <n v="1"/>
  </r>
  <r>
    <s v="Skincare"/>
    <s v="SKU39"/>
    <n v="19.127477265823256"/>
    <n v="0.26"/>
    <n v="176"/>
    <n v="1912.4656631007608"/>
    <n v="3366.4359987848929"/>
    <n v="-1453.9703356841321"/>
    <s v="Female"/>
    <n v="78"/>
    <n v="29"/>
    <n v="36"/>
    <n v="34"/>
    <n v="3"/>
    <s v="Carrier A"/>
    <n v="5.5625037788303837"/>
    <s v="Supplier 2"/>
    <s v="Kolkata"/>
    <n v="30"/>
    <n v="791"/>
    <n v="6"/>
    <n v="9.0058074287816421"/>
    <s v="Fail"/>
    <n v="1.4519722039968199E-2"/>
    <s v="Air"/>
    <s v="Route B"/>
    <n v="653.67299455203317"/>
    <n v="0"/>
  </r>
  <r>
    <s v="Skincare"/>
    <s v="SKU40"/>
    <n v="80.541424170940331"/>
    <n v="0.97"/>
    <n v="933"/>
    <n v="5724.9593504562654"/>
    <n v="75145.14875148733"/>
    <n v="-69420.189401031064"/>
    <s v="Female"/>
    <n v="90"/>
    <n v="20"/>
    <n v="19"/>
    <n v="39"/>
    <n v="8"/>
    <s v="Carrier C"/>
    <n v="7.2295951397364737"/>
    <s v="Supplier 1"/>
    <s v="Kolkata"/>
    <n v="18"/>
    <n v="793"/>
    <n v="1"/>
    <n v="88.179407104217461"/>
    <s v="Pending"/>
    <n v="4.2132694305865699E-2"/>
    <s v="Road"/>
    <s v="Route A"/>
    <n v="529.80872398069187"/>
    <n v="0"/>
  </r>
  <r>
    <s v="Skincare"/>
    <s v="SKU41"/>
    <n v="99.113291615317166"/>
    <n v="0.35"/>
    <n v="556"/>
    <n v="5521.2052590109715"/>
    <n v="55106.990138116344"/>
    <n v="-49585.784879105369"/>
    <s v="Female"/>
    <n v="64"/>
    <n v="19"/>
    <n v="25"/>
    <n v="38"/>
    <n v="8"/>
    <s v="Carrier B"/>
    <n v="5.7732637437666536"/>
    <s v="Supplier 4"/>
    <s v="Chennai"/>
    <n v="18"/>
    <n v="892"/>
    <n v="7"/>
    <n v="95.332064548772493"/>
    <s v="Fail"/>
    <n v="4.5302262398259598E-4"/>
    <s v="Sea"/>
    <s v="Route A"/>
    <n v="275.52437113130981"/>
    <n v="0"/>
  </r>
  <r>
    <s v="Skincare"/>
    <s v="SKU42"/>
    <n v="46.529167614516773"/>
    <n v="0.98"/>
    <n v="155"/>
    <n v="1839.6094258567639"/>
    <n v="7212.0209802500995"/>
    <n v="-5372.4115543933358"/>
    <s v="Female"/>
    <n v="22"/>
    <n v="27"/>
    <n v="33"/>
    <n v="57"/>
    <n v="4"/>
    <s v="Carrier C"/>
    <n v="7.5262483268515084"/>
    <s v="Supplier 5"/>
    <s v="Bangalore"/>
    <n v="26"/>
    <n v="179"/>
    <n v="7"/>
    <n v="96.422820639571867"/>
    <s v="Fail"/>
    <n v="4.9392552886209501E-2"/>
    <s v="Road"/>
    <s v="Route A"/>
    <n v="635.65712050199193"/>
    <n v="0"/>
  </r>
  <r>
    <s v="Haircare"/>
    <s v="SKU43"/>
    <n v="11.743271776309239"/>
    <n v="0.06"/>
    <n v="598"/>
    <n v="5737.425599119023"/>
    <n v="7022.4765222329252"/>
    <n v="-1285.0509231139022"/>
    <s v="Unknown"/>
    <n v="36"/>
    <n v="29"/>
    <n v="24"/>
    <n v="85"/>
    <n v="9"/>
    <s v="Carrier B"/>
    <n v="3.6940212683884543"/>
    <s v="Supplier 5"/>
    <s v="Mumbai"/>
    <n v="1"/>
    <n v="206"/>
    <n v="23"/>
    <n v="26.27736595733241"/>
    <s v="Pending"/>
    <n v="3.7230476798509799E-3"/>
    <s v="Air"/>
    <s v="Route A"/>
    <n v="716.04411975934067"/>
    <n v="0"/>
  </r>
  <r>
    <s v="Cosmetics"/>
    <s v="SKU44"/>
    <n v="51.35579091311039"/>
    <n v="0.34"/>
    <n v="919"/>
    <n v="7152.2860494355145"/>
    <n v="47195.971849148445"/>
    <n v="-40043.685799712934"/>
    <s v="Female"/>
    <n v="13"/>
    <n v="19"/>
    <n v="25"/>
    <n v="72"/>
    <n v="6"/>
    <s v="Carrier C"/>
    <n v="7.5774496573766932"/>
    <s v="Supplier 2"/>
    <s v="Delhi"/>
    <n v="7"/>
    <n v="834"/>
    <n v="18"/>
    <n v="22.554106620887744"/>
    <s v="Fail"/>
    <n v="2.9626263204548801E-2"/>
    <s v="Rail"/>
    <s v="Route A"/>
    <n v="610.45326961922774"/>
    <n v="0"/>
  </r>
  <r>
    <s v="Haircare"/>
    <s v="SKU45"/>
    <n v="33.78413803306551"/>
    <n v="0.01"/>
    <n v="24"/>
    <n v="5267.9568075105208"/>
    <n v="810.81931279357218"/>
    <n v="4457.1374947169488"/>
    <s v="Male"/>
    <n v="93"/>
    <n v="7"/>
    <n v="50"/>
    <n v="52"/>
    <n v="6"/>
    <s v="Carrier B"/>
    <n v="5.2151550087119096"/>
    <s v="Supplier 2"/>
    <s v="Chennai"/>
    <n v="25"/>
    <n v="794"/>
    <n v="25"/>
    <n v="66.312544439991655"/>
    <s v="Pass"/>
    <n v="3.21960461208411E-2"/>
    <s v="Rail"/>
    <s v="Route A"/>
    <n v="495.30569702847396"/>
    <n v="1"/>
  </r>
  <r>
    <s v="Haircare"/>
    <s v="SKU46"/>
    <n v="27.082207199888899"/>
    <n v="0.75"/>
    <n v="859"/>
    <n v="2556.7673606335957"/>
    <n v="23263.615984704564"/>
    <n v="-20706.848624070968"/>
    <s v="Non-binary"/>
    <n v="92"/>
    <n v="29"/>
    <n v="41"/>
    <n v="6"/>
    <n v="8"/>
    <s v="Carrier B"/>
    <n v="4.0709558370840826"/>
    <s v="Supplier 3"/>
    <s v="Chennai"/>
    <n v="18"/>
    <n v="870"/>
    <n v="23"/>
    <n v="77.32235321105162"/>
    <s v="Pending"/>
    <n v="3.6486105925362E-2"/>
    <s v="Road"/>
    <s v="Route B"/>
    <n v="380.43593711196428"/>
    <n v="0"/>
  </r>
  <r>
    <s v="Skincare"/>
    <s v="SKU47"/>
    <n v="95.712135880936088"/>
    <n v="0.93"/>
    <n v="910"/>
    <n v="7089.4742499341864"/>
    <n v="87098.043651651838"/>
    <n v="-80008.569401717657"/>
    <s v="Male"/>
    <n v="4"/>
    <n v="15"/>
    <n v="30"/>
    <n v="51"/>
    <n v="9"/>
    <s v="Carrier B"/>
    <n v="8.9787507559499709"/>
    <s v="Supplier 1"/>
    <s v="Kolkata"/>
    <n v="10"/>
    <n v="964"/>
    <n v="20"/>
    <n v="19.712992911293647"/>
    <s v="Pending"/>
    <n v="3.8057358671321402E-3"/>
    <s v="Rail"/>
    <s v="Route A"/>
    <n v="581.60235505058677"/>
    <n v="1"/>
  </r>
  <r>
    <s v="Haircare"/>
    <s v="SKU48"/>
    <n v="76.035544426891718"/>
    <n v="0.28000000000000003"/>
    <n v="29"/>
    <n v="7397.0710045871801"/>
    <n v="2205.03078837986"/>
    <n v="5192.0402162073206"/>
    <s v="Non-binary"/>
    <n v="30"/>
    <n v="16"/>
    <n v="27"/>
    <n v="9"/>
    <n v="3"/>
    <s v="Carrier C"/>
    <n v="7.0958331565551385"/>
    <s v="Supplier 2"/>
    <s v="Mumbai"/>
    <n v="9"/>
    <n v="109"/>
    <n v="18"/>
    <n v="23.126363582464776"/>
    <s v="Fail"/>
    <n v="1.6981125407143999E-2"/>
    <s v="Rail"/>
    <s v="Route B"/>
    <n v="768.65191395437"/>
    <n v="1"/>
  </r>
  <r>
    <s v="Cosmetics"/>
    <s v="SKU49"/>
    <n v="78.897913205640037"/>
    <n v="0.19"/>
    <n v="99"/>
    <n v="8001.6132065190022"/>
    <n v="7810.8934073583641"/>
    <n v="190.7197991606381"/>
    <s v="Unknown"/>
    <n v="97"/>
    <n v="24"/>
    <n v="56"/>
    <n v="9"/>
    <n v="6"/>
    <s v="Carrier C"/>
    <n v="2.5056210329009154"/>
    <s v="Supplier 5"/>
    <s v="Delhi"/>
    <n v="28"/>
    <n v="177"/>
    <n v="28"/>
    <n v="14.147815443979217"/>
    <s v="Pass"/>
    <n v="2.8258139854001298E-2"/>
    <s v="Rail"/>
    <s v="Route A"/>
    <n v="336.89016851997792"/>
    <n v="1"/>
  </r>
  <r>
    <s v="Cosmetics"/>
    <s v="SKU50"/>
    <n v="14.203484264803022"/>
    <n v="0.91"/>
    <n v="633"/>
    <n v="5910.8853896688988"/>
    <n v="8990.8055396203126"/>
    <n v="-3079.9201499514138"/>
    <s v="Female"/>
    <n v="31"/>
    <n v="23"/>
    <n v="41"/>
    <n v="82"/>
    <n v="10"/>
    <s v="Carrier A"/>
    <n v="6.2478609149759912"/>
    <s v="Supplier 2"/>
    <s v="Delhi"/>
    <n v="20"/>
    <n v="306"/>
    <n v="21"/>
    <n v="45.178757924634517"/>
    <s v="Fail"/>
    <n v="4.7548008046711797E-2"/>
    <s v="Rail"/>
    <s v="Route B"/>
    <n v="496.24865029194046"/>
    <n v="0"/>
  </r>
  <r>
    <s v="Haircare"/>
    <s v="SKU51"/>
    <n v="26.70076097246173"/>
    <n v="0.61"/>
    <n v="154"/>
    <n v="9866.465457979697"/>
    <n v="4111.9171897591068"/>
    <n v="5754.5482682205902"/>
    <s v="Male"/>
    <n v="100"/>
    <n v="4"/>
    <n v="46"/>
    <n v="52"/>
    <n v="1"/>
    <s v="Carrier A"/>
    <n v="4.7830005579476653"/>
    <s v="Supplier 5"/>
    <s v="Bangalore"/>
    <n v="18"/>
    <n v="673"/>
    <n v="28"/>
    <n v="14.190328344569981"/>
    <s v="Pending"/>
    <n v="1.7729511720835599E-2"/>
    <s v="Road"/>
    <s v="Route A"/>
    <n v="694.98231757944586"/>
    <n v="1"/>
  </r>
  <r>
    <s v="Skincare"/>
    <s v="SKU52"/>
    <n v="98.031829656465078"/>
    <n v="0.01"/>
    <n v="820"/>
    <n v="9435.7626089121295"/>
    <n v="80386.100318301367"/>
    <n v="-70950.337709389234"/>
    <s v="Male"/>
    <n v="64"/>
    <n v="11"/>
    <n v="37"/>
    <n v="11"/>
    <n v="1"/>
    <s v="Carrier B"/>
    <n v="8.6310521797689468"/>
    <s v="Supplier 1"/>
    <s v="Mumbai"/>
    <n v="10"/>
    <n v="727"/>
    <n v="27"/>
    <n v="9.1668491485971515"/>
    <s v="Pending"/>
    <n v="2.12247161914382E-2"/>
    <s v="Air"/>
    <s v="Route C"/>
    <n v="602.89849883838338"/>
    <n v="1"/>
  </r>
  <r>
    <s v="Skincare"/>
    <s v="SKU53"/>
    <n v="30.341470711214214"/>
    <n v="0.93"/>
    <n v="242"/>
    <n v="8232.3348294258212"/>
    <n v="7342.6359121138394"/>
    <n v="889.69891731198186"/>
    <s v="Male"/>
    <n v="96"/>
    <n v="25"/>
    <n v="18"/>
    <n v="54"/>
    <n v="3"/>
    <s v="Carrier B"/>
    <n v="1.0134865660958963"/>
    <s v="Supplier 1"/>
    <s v="Delhi"/>
    <n v="1"/>
    <n v="631"/>
    <n v="17"/>
    <n v="83.344058991677969"/>
    <s v="Pending"/>
    <n v="1.4103475760760299E-2"/>
    <s v="Air"/>
    <s v="Route B"/>
    <n v="750.73784066827091"/>
    <n v="0"/>
  </r>
  <r>
    <s v="Haircare"/>
    <s v="SKU54"/>
    <n v="31.146243160240854"/>
    <n v="0.11"/>
    <n v="622"/>
    <n v="6088.0214799408586"/>
    <n v="19372.963245669813"/>
    <n v="-13284.941765728954"/>
    <s v="Non-binary"/>
    <n v="33"/>
    <n v="22"/>
    <n v="55"/>
    <n v="61"/>
    <n v="3"/>
    <s v="Carrier B"/>
    <n v="4.3051034712876355"/>
    <s v="Supplier 1"/>
    <s v="Kolkata"/>
    <n v="26"/>
    <n v="497"/>
    <n v="29"/>
    <n v="30.186023375822508"/>
    <s v="Pass"/>
    <n v="2.4787719755397501E-2"/>
    <s v="Road"/>
    <s v="Route B"/>
    <n v="814.06999658218751"/>
    <n v="1"/>
  </r>
  <r>
    <s v="Haircare"/>
    <s v="SKU55"/>
    <n v="79.855058340789427"/>
    <n v="0.16"/>
    <n v="701"/>
    <n v="2925.6751703038126"/>
    <n v="55978.395896893388"/>
    <n v="-53052.720726589578"/>
    <s v="Male"/>
    <n v="97"/>
    <n v="11"/>
    <n v="32"/>
    <n v="11"/>
    <n v="5"/>
    <s v="Carrier A"/>
    <n v="5.0143649550309073"/>
    <s v="Supplier 2"/>
    <s v="Delhi"/>
    <n v="27"/>
    <n v="918"/>
    <n v="5"/>
    <n v="30.323545256616502"/>
    <s v="Fail"/>
    <n v="4.5489196593963797E-2"/>
    <s v="Sea"/>
    <s v="Route B"/>
    <n v="323.01292795247883"/>
    <n v="0"/>
  </r>
  <r>
    <s v="Skincare"/>
    <s v="SKU56"/>
    <n v="20.986386037043378"/>
    <n v="0.9"/>
    <n v="93"/>
    <n v="4767.020484344137"/>
    <n v="1951.7339014450342"/>
    <n v="2815.2865828991025"/>
    <s v="Non-binary"/>
    <n v="25"/>
    <n v="23"/>
    <n v="52"/>
    <n v="83"/>
    <n v="5"/>
    <s v="Carrier C"/>
    <n v="1.7744297140717396"/>
    <s v="Supplier 1"/>
    <s v="Mumbai"/>
    <n v="24"/>
    <n v="826"/>
    <n v="28"/>
    <n v="12.836284572832753"/>
    <s v="Pass"/>
    <n v="1.1737554953874499E-2"/>
    <s v="Air"/>
    <s v="Route B"/>
    <n v="832.21080870602168"/>
    <n v="1"/>
  </r>
  <r>
    <s v="Haircare"/>
    <s v="SKU57"/>
    <n v="49.263205350734154"/>
    <n v="0.65"/>
    <n v="227"/>
    <n v="1605.8669003924058"/>
    <n v="11182.747614616654"/>
    <n v="-9576.8807142242476"/>
    <s v="Unknown"/>
    <n v="5"/>
    <n v="18"/>
    <n v="46"/>
    <n v="51"/>
    <n v="1"/>
    <s v="Carrier B"/>
    <n v="9.1605585353818704"/>
    <s v="Supplier 2"/>
    <s v="Delhi"/>
    <n v="21"/>
    <n v="588"/>
    <n v="25"/>
    <n v="67.779622987078142"/>
    <s v="Pending"/>
    <n v="2.5111748302127101E-2"/>
    <s v="Rail"/>
    <s v="Route A"/>
    <n v="482.19123860252813"/>
    <n v="1"/>
  </r>
  <r>
    <s v="Skincare"/>
    <s v="SKU58"/>
    <n v="59.84156137728931"/>
    <n v="0.81"/>
    <n v="896"/>
    <n v="2021.1498103371077"/>
    <n v="53618.038994051225"/>
    <n v="-51596.88918371412"/>
    <s v="Non-binary"/>
    <n v="10"/>
    <n v="5"/>
    <n v="25"/>
    <n v="44"/>
    <n v="7"/>
    <s v="Carrier A"/>
    <n v="4.9384385647120901"/>
    <s v="Supplier 3"/>
    <s v="Delhi"/>
    <n v="18"/>
    <n v="396"/>
    <n v="7"/>
    <n v="65.047415094691459"/>
    <s v="Fail"/>
    <n v="1.7303747198591998E-2"/>
    <s v="Road"/>
    <s v="Route B"/>
    <n v="110.36433523136472"/>
    <n v="1"/>
  </r>
  <r>
    <s v="Cosmetics"/>
    <s v="SKU59"/>
    <n v="63.828398347710966"/>
    <n v="0.3"/>
    <n v="484"/>
    <n v="1061.618523013288"/>
    <n v="30892.944800292109"/>
    <n v="-29831.326277278822"/>
    <s v="Non-binary"/>
    <n v="100"/>
    <n v="16"/>
    <n v="15"/>
    <n v="26"/>
    <n v="7"/>
    <s v="Carrier B"/>
    <n v="7.2937225968677284"/>
    <s v="Supplier 1"/>
    <s v="Kolkata"/>
    <n v="11"/>
    <n v="176"/>
    <n v="4"/>
    <n v="1.900762243519458"/>
    <s v="Fail"/>
    <n v="4.4719401546382299E-3"/>
    <s v="Air"/>
    <s v="Route A"/>
    <n v="312.57427361009331"/>
    <n v="0"/>
  </r>
  <r>
    <s v="Skincare"/>
    <s v="SKU60"/>
    <n v="17.028027920188702"/>
    <n v="0.16"/>
    <n v="380"/>
    <n v="8864.0843495864356"/>
    <n v="6470.6506096717067"/>
    <n v="2393.4337399147289"/>
    <s v="Female"/>
    <n v="41"/>
    <n v="27"/>
    <n v="53"/>
    <n v="72"/>
    <n v="8"/>
    <s v="Carrier C"/>
    <n v="4.3813681581023145"/>
    <s v="Supplier 4"/>
    <s v="Mumbai"/>
    <n v="29"/>
    <n v="929"/>
    <n v="24"/>
    <n v="87.213057815135684"/>
    <s v="Fail"/>
    <n v="2.85309061664905E-2"/>
    <s v="Rail"/>
    <s v="Route A"/>
    <n v="430.16909697513654"/>
    <n v="0"/>
  </r>
  <r>
    <s v="Haircare"/>
    <s v="SKU61"/>
    <n v="52.028749903294923"/>
    <n v="0.23"/>
    <n v="117"/>
    <n v="6885.5893508962527"/>
    <n v="6087.3637386855062"/>
    <n v="798.22561221074648"/>
    <s v="Unknown"/>
    <n v="32"/>
    <n v="23"/>
    <n v="26"/>
    <n v="36"/>
    <n v="7"/>
    <s v="Carrier C"/>
    <n v="9.0303404225219488"/>
    <s v="Supplier 4"/>
    <s v="Kolkata"/>
    <n v="14"/>
    <n v="480"/>
    <n v="12"/>
    <n v="78.702393968878894"/>
    <s v="Fail"/>
    <n v="4.3674705382050497E-2"/>
    <s v="Air"/>
    <s v="Route A"/>
    <n v="164.36652824341942"/>
    <n v="0"/>
  </r>
  <r>
    <s v="Cosmetics"/>
    <s v="SKU62"/>
    <n v="72.796353955587364"/>
    <n v="0.89"/>
    <n v="270"/>
    <n v="3899.7468337292244"/>
    <n v="19655.015568008588"/>
    <n v="-15755.268734279363"/>
    <s v="Unknown"/>
    <n v="86"/>
    <n v="2"/>
    <n v="27"/>
    <n v="40"/>
    <n v="7"/>
    <s v="Carrier C"/>
    <n v="7.2917013887767759"/>
    <s v="Supplier 2"/>
    <s v="Mumbai"/>
    <n v="13"/>
    <n v="751"/>
    <n v="14"/>
    <n v="21.048642725168644"/>
    <s v="Pass"/>
    <n v="1.87400140404437E-2"/>
    <s v="Sea"/>
    <s v="Route C"/>
    <n v="320.84651575911158"/>
    <n v="1"/>
  </r>
  <r>
    <s v="Skincare"/>
    <s v="SKU63"/>
    <n v="13.017376785287857"/>
    <n v="0.55000000000000004"/>
    <n v="246"/>
    <n v="4256.9491408502254"/>
    <n v="3202.2746891808129"/>
    <n v="1054.6744516694125"/>
    <s v="Non-binary"/>
    <n v="54"/>
    <n v="19"/>
    <n v="28"/>
    <n v="10"/>
    <n v="4"/>
    <s v="Carrier A"/>
    <n v="2.45793352798733"/>
    <s v="Supplier 3"/>
    <s v="Bangalore"/>
    <n v="18"/>
    <n v="736"/>
    <n v="10"/>
    <n v="20.075003975630484"/>
    <s v="Pending"/>
    <n v="3.6328432903821303E-2"/>
    <s v="Sea"/>
    <s v="Route A"/>
    <n v="687.28617786641735"/>
    <n v="0"/>
  </r>
  <r>
    <s v="Skincare"/>
    <s v="SKU64"/>
    <n v="89.634095608135326"/>
    <n v="0.11"/>
    <n v="134"/>
    <n v="8458.7308783671779"/>
    <n v="12010.968811490133"/>
    <n v="-3552.2379331229549"/>
    <s v="Female"/>
    <n v="73"/>
    <n v="27"/>
    <n v="23"/>
    <n v="75"/>
    <n v="6"/>
    <s v="Carrier C"/>
    <n v="4.5853534681946524"/>
    <s v="Supplier 1"/>
    <s v="Delhi"/>
    <n v="17"/>
    <n v="328"/>
    <n v="6"/>
    <n v="8.6930424258772874"/>
    <s v="Fail"/>
    <n v="1.5948631471751501E-3"/>
    <s v="Air"/>
    <s v="Route C"/>
    <n v="771.22508468115745"/>
    <n v="0"/>
  </r>
  <r>
    <s v="Skincare"/>
    <s v="SKU65"/>
    <n v="33.697717206643127"/>
    <n v="0.72"/>
    <n v="457"/>
    <n v="8354.5796864819949"/>
    <n v="15399.85676343591"/>
    <n v="-7045.2770769539147"/>
    <s v="Male"/>
    <n v="57"/>
    <n v="24"/>
    <n v="37"/>
    <n v="54"/>
    <n v="8"/>
    <s v="Carrier C"/>
    <n v="6.5805413478845951"/>
    <s v="Supplier 5"/>
    <s v="Kolkata"/>
    <n v="16"/>
    <n v="358"/>
    <n v="21"/>
    <n v="1.5972227430506774"/>
    <s v="Fail"/>
    <n v="4.9110959548423302E-2"/>
    <s v="Rail"/>
    <s v="Route C"/>
    <n v="555.85910367174347"/>
    <n v="0"/>
  </r>
  <r>
    <s v="Skincare"/>
    <s v="SKU66"/>
    <n v="26.034869773962086"/>
    <n v="0.52"/>
    <n v="704"/>
    <n v="8367.721618020154"/>
    <n v="18328.548320869308"/>
    <n v="-9960.8267028491537"/>
    <s v="Female"/>
    <n v="13"/>
    <n v="17"/>
    <n v="52"/>
    <n v="19"/>
    <n v="8"/>
    <s v="Carrier A"/>
    <n v="2.2161427287713633"/>
    <s v="Supplier 5"/>
    <s v="Kolkata"/>
    <n v="24"/>
    <n v="867"/>
    <n v="28"/>
    <n v="42.084436738309961"/>
    <s v="Fail"/>
    <n v="3.4480632883402598E-2"/>
    <s v="Road"/>
    <s v="Route A"/>
    <n v="393.84334857842788"/>
    <n v="1"/>
  </r>
  <r>
    <s v="Skincare"/>
    <s v="SKU67"/>
    <n v="87.755432354001073"/>
    <n v="0.16"/>
    <n v="513"/>
    <n v="9473.7980325083372"/>
    <n v="45018.536797602552"/>
    <n v="-35544.738765094211"/>
    <s v="Unknown"/>
    <n v="12"/>
    <n v="9"/>
    <n v="21"/>
    <n v="71"/>
    <n v="9"/>
    <s v="Carrier C"/>
    <n v="9.147811544710633"/>
    <s v="Supplier 1"/>
    <s v="Mumbai"/>
    <n v="10"/>
    <n v="198"/>
    <n v="11"/>
    <n v="7.0578761469782307"/>
    <s v="Pass"/>
    <n v="1.3195544431181499E-3"/>
    <s v="Sea"/>
    <s v="Route C"/>
    <n v="169.2718013847869"/>
    <n v="1"/>
  </r>
  <r>
    <s v="Haircare"/>
    <s v="SKU68"/>
    <n v="37.931812382790319"/>
    <n v="0.28999999999999998"/>
    <n v="163"/>
    <n v="3550.2184327809919"/>
    <n v="6182.8854183948224"/>
    <n v="-2632.6669856138305"/>
    <s v="Non-binary"/>
    <n v="0"/>
    <n v="8"/>
    <n v="20"/>
    <n v="58"/>
    <n v="8"/>
    <s v="Carrier B"/>
    <n v="1.1942518648849991"/>
    <s v="Supplier 2"/>
    <s v="Bangalore"/>
    <n v="2"/>
    <n v="375"/>
    <n v="18"/>
    <n v="97.113581563462205"/>
    <s v="Fail"/>
    <n v="1.98346787217418E-2"/>
    <s v="Rail"/>
    <s v="Route A"/>
    <n v="299.70630311810316"/>
    <n v="1"/>
  </r>
  <r>
    <s v="Skincare"/>
    <s v="SKU69"/>
    <n v="54.865528517069791"/>
    <n v="0.62"/>
    <n v="511"/>
    <n v="1752.3810874841247"/>
    <n v="28036.285072222665"/>
    <n v="-26283.903984738539"/>
    <s v="Non-binary"/>
    <n v="95"/>
    <n v="1"/>
    <n v="16"/>
    <n v="27"/>
    <n v="3"/>
    <s v="Carrier B"/>
    <n v="9.7052867901203488"/>
    <s v="Supplier 4"/>
    <s v="Kolkata"/>
    <n v="9"/>
    <n v="862"/>
    <n v="7"/>
    <n v="77.627765812748166"/>
    <s v="Pending"/>
    <n v="1.3623879886491099E-2"/>
    <s v="Air"/>
    <s v="Route A"/>
    <n v="207.66320620857562"/>
    <n v="1"/>
  </r>
  <r>
    <s v="Haircare"/>
    <s v="SKU70"/>
    <n v="47.914541824058766"/>
    <n v="0.9"/>
    <n v="32"/>
    <n v="7014.8879872033885"/>
    <n v="1533.2653383698805"/>
    <n v="5481.6226488335078"/>
    <s v="Female"/>
    <n v="10"/>
    <n v="12"/>
    <n v="38"/>
    <n v="22"/>
    <n v="4"/>
    <s v="Carrier B"/>
    <n v="6.3157177546007226"/>
    <s v="Supplier 1"/>
    <s v="Bangalore"/>
    <n v="22"/>
    <n v="775"/>
    <n v="16"/>
    <n v="11.440781823761265"/>
    <s v="Pass"/>
    <n v="1.8305755986122298E-2"/>
    <s v="Road"/>
    <s v="Route C"/>
    <n v="183.27289874871101"/>
    <n v="1"/>
  </r>
  <r>
    <s v="Cosmetics"/>
    <s v="SKU71"/>
    <n v="6.3815331627479663"/>
    <n v="0.14000000000000001"/>
    <n v="637"/>
    <n v="8180.3370854254426"/>
    <n v="4065.0366246704543"/>
    <n v="4115.3004607549883"/>
    <s v="Female"/>
    <n v="76"/>
    <n v="2"/>
    <n v="12"/>
    <n v="26"/>
    <n v="6"/>
    <s v="Carrier A"/>
    <n v="9.2281903170525172"/>
    <s v="Supplier 2"/>
    <s v="Bangalore"/>
    <n v="2"/>
    <n v="258"/>
    <n v="10"/>
    <n v="30.661677477859556"/>
    <s v="Pending"/>
    <n v="2.0787506078749698E-2"/>
    <s v="Road"/>
    <s v="Route A"/>
    <n v="405.16706788885585"/>
    <n v="1"/>
  </r>
  <r>
    <s v="Cosmetics"/>
    <s v="SKU72"/>
    <n v="90.204427520528071"/>
    <n v="0.88"/>
    <n v="478"/>
    <n v="2633.1219813122557"/>
    <n v="43117.716354812415"/>
    <n v="-40484.594373500157"/>
    <s v="Non-binary"/>
    <n v="57"/>
    <n v="29"/>
    <n v="32"/>
    <n v="77"/>
    <n v="9"/>
    <s v="Carrier A"/>
    <n v="6.5996141596895441"/>
    <s v="Supplier 1"/>
    <s v="Bangalore"/>
    <n v="21"/>
    <n v="152"/>
    <n v="11"/>
    <n v="55.760492895244212"/>
    <s v="Pending"/>
    <n v="3.2133296074383103E-2"/>
    <s v="Rail"/>
    <s v="Route B"/>
    <n v="677.9445698461833"/>
    <n v="0"/>
  </r>
  <r>
    <s v="Cosmetics"/>
    <s v="SKU73"/>
    <n v="83.851017681304597"/>
    <n v="0.41"/>
    <n v="375"/>
    <n v="7910.8869161406856"/>
    <n v="31444.131630489224"/>
    <n v="-23533.244714348541"/>
    <s v="Male"/>
    <n v="17"/>
    <n v="25"/>
    <n v="17"/>
    <n v="66"/>
    <n v="5"/>
    <s v="Carrier B"/>
    <n v="1.5129368369160772"/>
    <s v="Supplier 4"/>
    <s v="Chennai"/>
    <n v="13"/>
    <n v="444"/>
    <n v="4"/>
    <n v="46.870238797617155"/>
    <s v="Fail"/>
    <n v="4.62054606451371E-2"/>
    <s v="Road"/>
    <s v="Route A"/>
    <n v="866.4728001296578"/>
    <n v="0"/>
  </r>
  <r>
    <s v="Haircare"/>
    <s v="SKU74"/>
    <n v="3.1700114135661548"/>
    <n v="0.64"/>
    <n v="904"/>
    <n v="5709.9452959692871"/>
    <n v="2865.690317863804"/>
    <n v="2844.2549781054831"/>
    <s v="Female"/>
    <n v="41"/>
    <n v="6"/>
    <n v="10"/>
    <n v="1"/>
    <n v="5"/>
    <s v="Carrier A"/>
    <n v="5.2376546500374479"/>
    <s v="Supplier 4"/>
    <s v="Delhi"/>
    <n v="1"/>
    <n v="919"/>
    <n v="9"/>
    <n v="80.580852156447818"/>
    <s v="Fail"/>
    <n v="3.9661272410993504E-3"/>
    <s v="Rail"/>
    <s v="Route A"/>
    <n v="341.55265678322337"/>
    <n v="1"/>
  </r>
  <r>
    <s v="Skincare"/>
    <s v="SKU75"/>
    <n v="92.996884233970661"/>
    <n v="0.28999999999999998"/>
    <n v="106"/>
    <n v="1889.073589779335"/>
    <n v="9857.6697288008909"/>
    <n v="-7968.5961390215562"/>
    <s v="Non-binary"/>
    <n v="16"/>
    <n v="20"/>
    <n v="36"/>
    <n v="56"/>
    <n v="10"/>
    <s v="Carrier C"/>
    <n v="2.4738977610454609"/>
    <s v="Supplier 1"/>
    <s v="Chennai"/>
    <n v="25"/>
    <n v="759"/>
    <n v="11"/>
    <n v="48.064782640006591"/>
    <s v="Pass"/>
    <n v="2.0300690886687501E-2"/>
    <s v="Air"/>
    <s v="Route C"/>
    <n v="873.12964801765145"/>
    <n v="0"/>
  </r>
  <r>
    <s v="Haircare"/>
    <s v="SKU76"/>
    <n v="69.108799547430323"/>
    <n v="0.23"/>
    <n v="241"/>
    <n v="5328.3759842977579"/>
    <n v="16655.220690930706"/>
    <n v="-11326.844706632948"/>
    <s v="Male"/>
    <n v="38"/>
    <n v="1"/>
    <n v="49"/>
    <n v="22"/>
    <n v="10"/>
    <s v="Carrier A"/>
    <n v="7.0545383368369263"/>
    <s v="Supplier 2"/>
    <s v="Bangalore"/>
    <n v="25"/>
    <n v="985"/>
    <n v="24"/>
    <n v="64.323597795600222"/>
    <s v="Pending"/>
    <n v="2.1800374515822198E-2"/>
    <s v="Rail"/>
    <s v="Route A"/>
    <n v="997.4134501331946"/>
    <n v="1"/>
  </r>
  <r>
    <s v="Haircare"/>
    <s v="SKU77"/>
    <n v="57.449742958971477"/>
    <n v="0.14000000000000001"/>
    <n v="359"/>
    <n v="2483.7601775427947"/>
    <n v="20624.457722270759"/>
    <n v="-18140.697544727966"/>
    <s v="Unknown"/>
    <n v="96"/>
    <n v="28"/>
    <n v="31"/>
    <n v="57"/>
    <n v="4"/>
    <s v="Carrier B"/>
    <n v="6.7809466256178954"/>
    <s v="Supplier 1"/>
    <s v="Kolkata"/>
    <n v="26"/>
    <n v="334"/>
    <n v="5"/>
    <n v="42.952444748991837"/>
    <s v="Pass"/>
    <n v="3.05514181830755E-2"/>
    <s v="Road"/>
    <s v="Route B"/>
    <n v="852.56809891984994"/>
    <n v="0"/>
  </r>
  <r>
    <s v="Haircare"/>
    <s v="SKU78"/>
    <n v="6.3068831761119153"/>
    <n v="0.5"/>
    <n v="946"/>
    <n v="1292.4584179377562"/>
    <n v="5966.3114846018716"/>
    <n v="-4673.8530666641154"/>
    <s v="Unknown"/>
    <n v="5"/>
    <n v="4"/>
    <n v="46"/>
    <n v="51"/>
    <n v="5"/>
    <s v="Carrier B"/>
    <n v="8.4670497708619905"/>
    <s v="Supplier 5"/>
    <s v="Mumbai"/>
    <n v="25"/>
    <n v="858"/>
    <n v="21"/>
    <n v="71.126514720403378"/>
    <s v="Pending"/>
    <n v="4.0968813324704499E-2"/>
    <s v="Sea"/>
    <s v="Route C"/>
    <n v="323.59220343132216"/>
    <n v="1"/>
  </r>
  <r>
    <s v="Haircare"/>
    <s v="SKU79"/>
    <n v="57.057031221103223"/>
    <n v="0.56000000000000005"/>
    <n v="198"/>
    <n v="7888.7232684270812"/>
    <n v="11297.292181778439"/>
    <n v="-3408.5689133513579"/>
    <s v="Non-binary"/>
    <n v="31"/>
    <n v="25"/>
    <n v="17"/>
    <n v="20"/>
    <n v="1"/>
    <s v="Carrier B"/>
    <n v="6.4963253642950445"/>
    <s v="Supplier 3"/>
    <s v="Bangalore"/>
    <n v="5"/>
    <n v="228"/>
    <n v="12"/>
    <n v="57.87090292403628"/>
    <s v="Pending"/>
    <n v="1.65871627480608E-3"/>
    <s v="Air"/>
    <s v="Route C"/>
    <n v="351.50421933503867"/>
    <n v="0"/>
  </r>
  <r>
    <s v="Skincare"/>
    <s v="SKU80"/>
    <n v="91.128318350444331"/>
    <n v="0.75"/>
    <n v="872"/>
    <n v="8651.6726829820655"/>
    <n v="79463.893601587464"/>
    <n v="-70812.220918605395"/>
    <s v="Unknown"/>
    <n v="39"/>
    <n v="14"/>
    <n v="13"/>
    <n v="41"/>
    <n v="2"/>
    <s v="Carrier C"/>
    <n v="2.8331846794189746"/>
    <s v="Supplier 3"/>
    <s v="Chennai"/>
    <n v="8"/>
    <n v="202"/>
    <n v="5"/>
    <n v="76.961228023820013"/>
    <s v="Fail"/>
    <n v="2.8496621985053299E-2"/>
    <s v="Sea"/>
    <s v="Route B"/>
    <n v="787.77985049434449"/>
    <n v="0"/>
  </r>
  <r>
    <s v="Haircare"/>
    <s v="SKU81"/>
    <n v="72.819206930318217"/>
    <n v="0.09"/>
    <n v="774"/>
    <n v="4384.4134000458625"/>
    <n v="56362.066164066302"/>
    <n v="-51977.652764020437"/>
    <s v="Unknown"/>
    <n v="48"/>
    <n v="6"/>
    <n v="29"/>
    <n v="8"/>
    <n v="5"/>
    <s v="Carrier B"/>
    <n v="4.0662775015120438"/>
    <s v="Supplier 3"/>
    <s v="Delhi"/>
    <n v="28"/>
    <n v="698"/>
    <n v="1"/>
    <n v="19.789592941903603"/>
    <s v="Pending"/>
    <n v="2.54754712154871E-2"/>
    <s v="Rail"/>
    <s v="Route B"/>
    <n v="276.77833594679885"/>
    <n v="0"/>
  </r>
  <r>
    <s v="Skincare"/>
    <s v="SKU82"/>
    <n v="17.034930739467917"/>
    <n v="0.13"/>
    <n v="336"/>
    <n v="2943.3818676094515"/>
    <n v="5723.7367284612201"/>
    <n v="-2780.3548608517685"/>
    <s v="Unknown"/>
    <n v="42"/>
    <n v="19"/>
    <n v="32"/>
    <n v="72"/>
    <n v="1"/>
    <s v="Carrier A"/>
    <n v="4.7081818735419301"/>
    <s v="Supplier 2"/>
    <s v="Mumbai"/>
    <n v="6"/>
    <n v="955"/>
    <n v="26"/>
    <n v="4.4652784349432402"/>
    <s v="Pending"/>
    <n v="4.1378770486223598E-2"/>
    <s v="Road"/>
    <s v="Route C"/>
    <n v="589.97855562804068"/>
    <n v="1"/>
  </r>
  <r>
    <s v="Haircare"/>
    <s v="SKU83"/>
    <n v="68.911246211606326"/>
    <n v="0.82"/>
    <n v="663"/>
    <n v="2411.754632110491"/>
    <n v="45688.156238294992"/>
    <n v="-43276.401606184503"/>
    <s v="Unknown"/>
    <n v="65"/>
    <n v="24"/>
    <n v="25"/>
    <n v="7"/>
    <n v="8"/>
    <s v="Carrier B"/>
    <n v="4.9498395779969488"/>
    <s v="Supplier 1"/>
    <s v="Bangalore"/>
    <n v="20"/>
    <n v="443"/>
    <n v="5"/>
    <n v="97.730593800533043"/>
    <s v="Fail"/>
    <n v="7.7300613406724797E-3"/>
    <s v="Road"/>
    <s v="Route A"/>
    <n v="682.97101822609329"/>
    <n v="0"/>
  </r>
  <r>
    <s v="Haircare"/>
    <s v="SKU84"/>
    <n v="89.104367292102253"/>
    <n v="0.99"/>
    <n v="618"/>
    <n v="2048.2900998487103"/>
    <n v="55066.498986519189"/>
    <n v="-53018.20888667048"/>
    <s v="Unknown"/>
    <n v="73"/>
    <n v="26"/>
    <n v="46"/>
    <n v="80"/>
    <n v="10"/>
    <s v="Carrier A"/>
    <n v="8.381615624922631"/>
    <s v="Supplier 5"/>
    <s v="Chennai"/>
    <n v="24"/>
    <n v="589"/>
    <n v="22"/>
    <n v="33.808636513209095"/>
    <s v="Pass"/>
    <n v="4.8434565771180403E-2"/>
    <s v="Air"/>
    <s v="Route B"/>
    <n v="465.45700596368795"/>
    <n v="0"/>
  </r>
  <r>
    <s v="Cosmetics"/>
    <s v="SKU85"/>
    <n v="76.962994415193876"/>
    <n v="0.83"/>
    <n v="25"/>
    <n v="8684.6130592538575"/>
    <n v="1924.074860379847"/>
    <n v="6760.53819887401"/>
    <s v="Female"/>
    <n v="15"/>
    <n v="18"/>
    <n v="6"/>
    <n v="66"/>
    <n v="2"/>
    <s v="Carrier C"/>
    <n v="8.2491687048717282"/>
    <s v="Supplier 5"/>
    <s v="Chennai"/>
    <n v="4"/>
    <n v="211"/>
    <n v="2"/>
    <n v="69.929345518672307"/>
    <s v="Fail"/>
    <n v="1.3744289997457601E-2"/>
    <s v="Road"/>
    <s v="Route B"/>
    <n v="842.68683000464148"/>
    <n v="0"/>
  </r>
  <r>
    <s v="Skincare"/>
    <s v="SKU86"/>
    <n v="19.998176940404221"/>
    <n v="0.18"/>
    <n v="223"/>
    <n v="1229.5910285649834"/>
    <n v="4459.5934577101416"/>
    <n v="-3230.0024291451582"/>
    <s v="Unknown"/>
    <n v="32"/>
    <n v="14"/>
    <n v="22"/>
    <n v="22"/>
    <n v="6"/>
    <s v="Carrier B"/>
    <n v="1.4543053101535515"/>
    <s v="Supplier 1"/>
    <s v="Mumbai"/>
    <n v="4"/>
    <n v="569"/>
    <n v="18"/>
    <n v="74.608969995194684"/>
    <s v="Pass"/>
    <n v="2.05151293076625E-2"/>
    <s v="Rail"/>
    <s v="Route A"/>
    <n v="264.25488983586649"/>
    <n v="1"/>
  </r>
  <r>
    <s v="Haircare"/>
    <s v="SKU87"/>
    <n v="80.41403665035574"/>
    <n v="0.24"/>
    <n v="79"/>
    <n v="5133.8467010866916"/>
    <n v="6352.7088953781031"/>
    <n v="-1218.8621942914115"/>
    <s v="Male"/>
    <n v="5"/>
    <n v="7"/>
    <n v="44"/>
    <n v="55"/>
    <n v="10"/>
    <s v="Carrier A"/>
    <n v="6.5758037975485353"/>
    <s v="Supplier 3"/>
    <s v="Chennai"/>
    <n v="27"/>
    <n v="523"/>
    <n v="17"/>
    <n v="28.69699682414317"/>
    <s v="Fail"/>
    <n v="3.6937377878392803E-2"/>
    <s v="Sea"/>
    <s v="Route B"/>
    <n v="879.3592177349243"/>
    <n v="1"/>
  </r>
  <r>
    <s v="Cosmetics"/>
    <s v="SKU88"/>
    <n v="75.27040697572501"/>
    <n v="0.57999999999999996"/>
    <n v="737"/>
    <n v="9444.7420330629793"/>
    <n v="55474.289941109331"/>
    <n v="-46029.547908046356"/>
    <s v="Male"/>
    <n v="60"/>
    <n v="18"/>
    <n v="32"/>
    <n v="85"/>
    <n v="7"/>
    <s v="Carrier A"/>
    <n v="3.8012531329310777"/>
    <s v="Supplier 2"/>
    <s v="Mumbai"/>
    <n v="21"/>
    <n v="953"/>
    <n v="11"/>
    <n v="68.184919057041171"/>
    <s v="Pending"/>
    <n v="7.22204401882931E-3"/>
    <s v="Sea"/>
    <s v="Route A"/>
    <n v="103.91624796070495"/>
    <n v="0"/>
  </r>
  <r>
    <s v="Cosmetics"/>
    <s v="SKU89"/>
    <n v="97.760085581938668"/>
    <n v="0.1"/>
    <n v="134"/>
    <n v="5924.682566853231"/>
    <n v="13099.851467979781"/>
    <n v="-7175.1689011265498"/>
    <s v="Unknown"/>
    <n v="90"/>
    <n v="1"/>
    <n v="34"/>
    <n v="27"/>
    <n v="8"/>
    <s v="Carrier B"/>
    <n v="9.9298162452772587"/>
    <s v="Supplier 1"/>
    <s v="Kolkata"/>
    <n v="23"/>
    <n v="370"/>
    <n v="11"/>
    <n v="46.603873381644469"/>
    <s v="Pending"/>
    <n v="1.90766573395907E-2"/>
    <s v="Rail"/>
    <s v="Route B"/>
    <n v="517.4999739290605"/>
    <n v="1"/>
  </r>
  <r>
    <s v="Skincare"/>
    <s v="SKU90"/>
    <n v="13.881913501359142"/>
    <n v="0.56000000000000005"/>
    <n v="320"/>
    <n v="9592.6335702803117"/>
    <n v="4442.2123204349255"/>
    <n v="5150.4212498453862"/>
    <s v="Non-binary"/>
    <n v="66"/>
    <n v="18"/>
    <n v="16"/>
    <n v="96"/>
    <n v="7"/>
    <s v="Carrier B"/>
    <n v="7.6744307081126939"/>
    <s v="Supplier 3"/>
    <s v="Bangalore"/>
    <n v="8"/>
    <n v="585"/>
    <n v="8"/>
    <n v="85.675963335797974"/>
    <s v="Pass"/>
    <n v="1.2193822244013899E-2"/>
    <s v="Rail"/>
    <s v="Route B"/>
    <n v="990.07847250581119"/>
    <n v="0"/>
  </r>
  <r>
    <s v="Cosmetics"/>
    <s v="SKU91"/>
    <n v="62.111965463961788"/>
    <n v="0.9"/>
    <n v="916"/>
    <n v="1935.2067935075991"/>
    <n v="56894.560364988996"/>
    <n v="-54959.353571481399"/>
    <s v="Male"/>
    <n v="98"/>
    <n v="22"/>
    <n v="33"/>
    <n v="85"/>
    <n v="7"/>
    <s v="Carrier B"/>
    <n v="7.4715140844011456"/>
    <s v="Supplier 4"/>
    <s v="Delhi"/>
    <n v="5"/>
    <n v="207"/>
    <n v="28"/>
    <n v="39.772882502339975"/>
    <s v="Pending"/>
    <n v="6.2600185820939503E-3"/>
    <s v="Rail"/>
    <s v="Route B"/>
    <n v="996.77831495062378"/>
    <n v="1"/>
  </r>
  <r>
    <s v="Cosmetics"/>
    <s v="SKU92"/>
    <n v="47.714233075820232"/>
    <n v="0.44"/>
    <n v="276"/>
    <n v="2100.1297546259366"/>
    <n v="13169.128328926385"/>
    <n v="-11068.998574300447"/>
    <s v="Male"/>
    <n v="90"/>
    <n v="25"/>
    <n v="33"/>
    <n v="10"/>
    <n v="8"/>
    <s v="Carrier B"/>
    <n v="4.4695000261236011"/>
    <s v="Supplier 2"/>
    <s v="Mumbai"/>
    <n v="4"/>
    <n v="671"/>
    <n v="29"/>
    <n v="62.612690395614344"/>
    <s v="Pass"/>
    <n v="3.3343182522473898E-3"/>
    <s v="Rail"/>
    <s v="Route B"/>
    <n v="230.09278253676294"/>
    <n v="1"/>
  </r>
  <r>
    <s v="Haircare"/>
    <s v="SKU93"/>
    <n v="69.290831002905492"/>
    <n v="0.88"/>
    <n v="114"/>
    <n v="4531.4021336919095"/>
    <n v="7899.1547343312259"/>
    <n v="-3367.7526006393164"/>
    <s v="Unknown"/>
    <n v="63"/>
    <n v="17"/>
    <n v="41"/>
    <n v="66"/>
    <n v="1"/>
    <s v="Carrier C"/>
    <n v="7.0064320590043945"/>
    <s v="Supplier 4"/>
    <s v="Chennai"/>
    <n v="21"/>
    <n v="824"/>
    <n v="20"/>
    <n v="35.633652343343876"/>
    <s v="Fail"/>
    <n v="4.1657817954241401E-2"/>
    <s v="Air"/>
    <s v="Route A"/>
    <n v="823.52384588815585"/>
    <n v="1"/>
  </r>
  <r>
    <s v="Cosmetics"/>
    <s v="SKU94"/>
    <n v="3.0376887246314141"/>
    <n v="0.97"/>
    <n v="987"/>
    <n v="7888.3565466618729"/>
    <n v="2998.1987712112059"/>
    <n v="4890.157775450667"/>
    <s v="Unknown"/>
    <n v="77"/>
    <n v="26"/>
    <n v="26"/>
    <n v="72"/>
    <n v="9"/>
    <s v="Carrier B"/>
    <n v="6.9429459420325808"/>
    <s v="Supplier 2"/>
    <s v="Delhi"/>
    <n v="12"/>
    <n v="908"/>
    <n v="14"/>
    <n v="60.387378614862122"/>
    <s v="Pass"/>
    <n v="1.46360749847278E-2"/>
    <s v="Rail"/>
    <s v="Route B"/>
    <n v="846.66525698669477"/>
    <n v="0"/>
  </r>
  <r>
    <s v="Haircare"/>
    <s v="SKU95"/>
    <n v="77.903927219447752"/>
    <n v="0.65"/>
    <n v="672"/>
    <n v="7386.3639440486641"/>
    <n v="52351.439091468892"/>
    <n v="-44965.075147420226"/>
    <s v="Unknown"/>
    <n v="15"/>
    <n v="14"/>
    <n v="44"/>
    <n v="26"/>
    <n v="9"/>
    <s v="Carrier B"/>
    <n v="8.6303388696027543"/>
    <s v="Supplier 4"/>
    <s v="Mumbai"/>
    <n v="18"/>
    <n v="450"/>
    <n v="26"/>
    <n v="58.890685768589982"/>
    <s v="Pending"/>
    <n v="1.21088212958507E-2"/>
    <s v="Air"/>
    <s v="Route A"/>
    <n v="778.8642413766479"/>
    <n v="1"/>
  </r>
  <r>
    <s v="Cosmetics"/>
    <s v="SKU96"/>
    <n v="24.42313142037338"/>
    <n v="0.28999999999999998"/>
    <n v="324"/>
    <n v="7698.4247656321168"/>
    <n v="7913.0945802009755"/>
    <n v="-214.66981456885878"/>
    <s v="Non-binary"/>
    <n v="67"/>
    <n v="2"/>
    <n v="56"/>
    <n v="32"/>
    <n v="3"/>
    <s v="Carrier C"/>
    <n v="5.3528780439968093"/>
    <s v="Supplier 3"/>
    <s v="Mumbai"/>
    <n v="28"/>
    <n v="648"/>
    <n v="28"/>
    <n v="17.80375633139127"/>
    <s v="Pending"/>
    <n v="3.8720476814821297E-2"/>
    <s v="Road"/>
    <s v="Route A"/>
    <n v="188.74214114905698"/>
    <n v="1"/>
  </r>
  <r>
    <s v="Haircare"/>
    <s v="SKU97"/>
    <n v="3.5261112591434158"/>
    <n v="0.56000000000000005"/>
    <n v="62"/>
    <n v="4370.9165799845359"/>
    <n v="218.61889806689177"/>
    <n v="4152.2976819176438"/>
    <s v="Male"/>
    <n v="46"/>
    <n v="19"/>
    <n v="23"/>
    <n v="4"/>
    <n v="9"/>
    <s v="Carrier A"/>
    <n v="7.9048456112096748"/>
    <s v="Supplier 4"/>
    <s v="Mumbai"/>
    <n v="10"/>
    <n v="535"/>
    <n v="13"/>
    <n v="65.765155926367456"/>
    <s v="Fail"/>
    <n v="3.3762378347179801E-2"/>
    <s v="Road"/>
    <s v="Route A"/>
    <n v="540.13242286796776"/>
    <n v="0"/>
  </r>
  <r>
    <s v="Skincare"/>
    <s v="SKU98"/>
    <n v="19.754604866878601"/>
    <n v="0.43"/>
    <n v="913"/>
    <n v="8525.9525596835265"/>
    <n v="18035.954243460164"/>
    <n v="-9510.0016837766379"/>
    <s v="Female"/>
    <n v="53"/>
    <n v="1"/>
    <n v="37"/>
    <n v="27"/>
    <n v="7"/>
    <s v="Carrier B"/>
    <n v="1.4098010951380731"/>
    <s v="Supplier 5"/>
    <s v="Chennai"/>
    <n v="28"/>
    <n v="581"/>
    <n v="9"/>
    <n v="5.604690864371781"/>
    <s v="Pending"/>
    <n v="2.9081221693512599E-2"/>
    <s v="Rail"/>
    <s v="Route A"/>
    <n v="882.19886354704147"/>
    <n v="1"/>
  </r>
  <r>
    <s v="Haircare"/>
    <s v="SKU99"/>
    <n v="68.517832699276639"/>
    <n v="0.17"/>
    <n v="627"/>
    <n v="9185.1858291817043"/>
    <n v="42960.681102446455"/>
    <n v="-33775.495273264751"/>
    <s v="Unknown"/>
    <n v="55"/>
    <n v="8"/>
    <n v="31"/>
    <n v="59"/>
    <n v="6"/>
    <s v="Carrier B"/>
    <n v="1.3110237561206226"/>
    <s v="Supplier 2"/>
    <s v="Chennai"/>
    <n v="29"/>
    <n v="921"/>
    <n v="2"/>
    <n v="38.07289852062604"/>
    <s v="Fail"/>
    <n v="3.46027290705503E-3"/>
    <s v="Rail"/>
    <s v="Route B"/>
    <n v="210.74300896424614"/>
    <n v="0"/>
  </r>
  <r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69.808005542115765"/>
    <n v="0.55000000000000004"/>
    <n v="802"/>
    <n v="8661.9967923923832"/>
    <n v="55986.020444776841"/>
    <n v="-47324.023652384458"/>
    <x v="0"/>
    <n v="58"/>
    <n v="7"/>
    <n v="58"/>
    <n v="96"/>
    <n v="4"/>
    <s v="Carrier B"/>
    <n v="2.9565721394308069"/>
    <s v="Supplier 3"/>
    <s v="Mumbai"/>
    <n v="29"/>
    <n v="215"/>
    <n v="29"/>
    <n v="46.279879240508322"/>
    <s v="Pending"/>
    <n v="2.2641036084992501E-3"/>
    <s v="Road"/>
    <s v="Route B"/>
    <n v="187.75207545920392"/>
    <n v="1"/>
    <n v="33"/>
  </r>
  <r>
    <x v="1"/>
    <x v="1"/>
    <n v="14.843523275084339"/>
    <n v="0.95"/>
    <n v="736"/>
    <n v="7460.9000654458487"/>
    <n v="10924.833130462073"/>
    <n v="-3463.9330650162246"/>
    <x v="1"/>
    <n v="53"/>
    <n v="30"/>
    <n v="53"/>
    <n v="37"/>
    <n v="2"/>
    <s v="Carrier A"/>
    <n v="9.7165747714313095"/>
    <s v="Supplier 3"/>
    <s v="Mumbai"/>
    <n v="23"/>
    <n v="517"/>
    <n v="30"/>
    <n v="33.616768953730002"/>
    <s v="Pending"/>
    <n v="4.8540680263887102E-2"/>
    <s v="Road"/>
    <s v="Route B"/>
    <n v="503.06557914966919"/>
    <n v="0"/>
    <n v="30"/>
  </r>
  <r>
    <x v="0"/>
    <x v="2"/>
    <n v="11.319683293090566"/>
    <n v="0.34"/>
    <n v="8"/>
    <n v="9577.7496258687297"/>
    <n v="90.557466344724531"/>
    <n v="9487.1921595240055"/>
    <x v="2"/>
    <n v="1"/>
    <n v="10"/>
    <n v="39"/>
    <n v="88"/>
    <n v="2"/>
    <s v="Carrier B"/>
    <n v="8.0544792617321548"/>
    <s v="Supplier 1"/>
    <s v="Mumbai"/>
    <n v="12"/>
    <n v="971"/>
    <n v="27"/>
    <n v="30.688019348284204"/>
    <s v="Pending"/>
    <n v="4.5805926191992301E-2"/>
    <s v="Air"/>
    <s v="Route C"/>
    <n v="141.92028177151906"/>
    <n v="1"/>
    <n v="29"/>
  </r>
  <r>
    <x v="1"/>
    <x v="3"/>
    <n v="61.163343016437736"/>
    <n v="0.68"/>
    <n v="83"/>
    <n v="7766.8364256852328"/>
    <n v="5076.5574703643324"/>
    <n v="2690.2789553209004"/>
    <x v="0"/>
    <n v="23"/>
    <n v="13"/>
    <n v="42"/>
    <n v="59"/>
    <n v="6"/>
    <s v="Carrier C"/>
    <n v="1.7295685635434288"/>
    <s v="Supplier 5"/>
    <s v="Kolkata"/>
    <n v="24"/>
    <n v="937"/>
    <n v="18"/>
    <n v="35.624741397125028"/>
    <s v="Fail"/>
    <n v="4.7466486206477497E-2"/>
    <s v="Rail"/>
    <s v="Route A"/>
    <n v="254.77615921928663"/>
    <n v="1"/>
    <n v="24"/>
  </r>
  <r>
    <x v="1"/>
    <x v="4"/>
    <n v="4.8054960363458932"/>
    <n v="0.26"/>
    <n v="871"/>
    <n v="2686.5051515674468"/>
    <n v="4185.5870476572727"/>
    <n v="-1499.0818960898259"/>
    <x v="0"/>
    <n v="5"/>
    <n v="3"/>
    <n v="8"/>
    <n v="56"/>
    <n v="8"/>
    <s v="Carrier A"/>
    <n v="3.8905479158706715"/>
    <s v="Supplier 1"/>
    <s v="Delhi"/>
    <n v="5"/>
    <n v="414"/>
    <n v="3"/>
    <n v="92.065160598712851"/>
    <s v="Fail"/>
    <n v="3.1455795228330002E-2"/>
    <s v="Air"/>
    <s v="Route A"/>
    <n v="923.44063171192215"/>
    <n v="0"/>
    <n v="3"/>
  </r>
  <r>
    <x v="0"/>
    <x v="5"/>
    <n v="1.6999760138659377"/>
    <n v="0.87"/>
    <n v="147"/>
    <n v="2828.3487459757589"/>
    <n v="249.89647403829284"/>
    <n v="2578.4522719374659"/>
    <x v="0"/>
    <n v="90"/>
    <n v="27"/>
    <n v="27"/>
    <n v="66"/>
    <n v="3"/>
    <s v="Carrier B"/>
    <n v="4.4440988643822932"/>
    <s v="Supplier 4"/>
    <s v="Bangalore"/>
    <n v="10"/>
    <n v="104"/>
    <n v="17"/>
    <n v="56.766475557431797"/>
    <s v="Fail"/>
    <n v="2.77919351157116E-2"/>
    <s v="Road"/>
    <s v="Route A"/>
    <n v="235.46123673553751"/>
    <n v="0"/>
    <n v="27"/>
  </r>
  <r>
    <x v="1"/>
    <x v="6"/>
    <n v="4.0783328631079447"/>
    <n v="0.48"/>
    <n v="65"/>
    <n v="7823.4765595317367"/>
    <n v="265.09163610201642"/>
    <n v="7558.3849234297204"/>
    <x v="3"/>
    <n v="11"/>
    <n v="15"/>
    <n v="38"/>
    <n v="58"/>
    <n v="8"/>
    <s v="Carrier C"/>
    <n v="3.8807633029520034"/>
    <s v="Supplier 3"/>
    <s v="Kolkata"/>
    <n v="14"/>
    <n v="314"/>
    <n v="24"/>
    <n v="1.0850685695870688"/>
    <s v="Pending"/>
    <n v="1.0009106193041401E-2"/>
    <s v="Sea"/>
    <s v="Route A"/>
    <n v="134.36909686103172"/>
    <n v="1"/>
    <n v="32"/>
  </r>
  <r>
    <x v="2"/>
    <x v="7"/>
    <n v="42.958384382460068"/>
    <n v="0.59"/>
    <n v="426"/>
    <n v="8496.1038130898378"/>
    <n v="18300.271746927989"/>
    <n v="-9804.1679338381509"/>
    <x v="1"/>
    <n v="93"/>
    <n v="17"/>
    <n v="23"/>
    <n v="11"/>
    <n v="1"/>
    <s v="Carrier B"/>
    <n v="2.3483387844177805"/>
    <s v="Supplier 4"/>
    <s v="Bangalore"/>
    <n v="22"/>
    <n v="564"/>
    <n v="1"/>
    <n v="99.466108603599125"/>
    <s v="Fail"/>
    <n v="3.98177186850651E-3"/>
    <s v="Road"/>
    <s v="Route C"/>
    <n v="802.05631181755859"/>
    <n v="0"/>
    <n v="17"/>
  </r>
  <r>
    <x v="2"/>
    <x v="8"/>
    <n v="68.717596748527328"/>
    <n v="0.78"/>
    <n v="150"/>
    <n v="7517.363210631127"/>
    <n v="10307.6395122791"/>
    <n v="-2790.276301647973"/>
    <x v="1"/>
    <n v="5"/>
    <n v="10"/>
    <n v="21"/>
    <n v="15"/>
    <n v="7"/>
    <s v="Carrier C"/>
    <n v="3.4047338570830266"/>
    <s v="Supplier 4"/>
    <s v="Mumbai"/>
    <n v="13"/>
    <n v="769"/>
    <n v="8"/>
    <n v="11.423027139565695"/>
    <s v="Pending"/>
    <n v="2.7098626911099599E-2"/>
    <s v="Sea"/>
    <s v="Route B"/>
    <n v="505.55713422546415"/>
    <n v="0"/>
    <n v="10"/>
  </r>
  <r>
    <x v="1"/>
    <x v="9"/>
    <n v="64.015732941278543"/>
    <n v="0.35"/>
    <n v="980"/>
    <n v="4971.145987585558"/>
    <n v="62735.418282452971"/>
    <n v="-57764.272294867413"/>
    <x v="2"/>
    <n v="14"/>
    <n v="27"/>
    <n v="52"/>
    <n v="83"/>
    <n v="1"/>
    <s v="Carrier A"/>
    <n v="7.1666452910482157"/>
    <s v="Supplier 2"/>
    <s v="Chennai"/>
    <n v="29"/>
    <n v="963"/>
    <n v="23"/>
    <n v="47.95760163495158"/>
    <s v="Pending"/>
    <n v="3.8446144787675801E-2"/>
    <s v="Rail"/>
    <s v="Route B"/>
    <n v="995.92946149864167"/>
    <n v="0"/>
    <n v="27"/>
  </r>
  <r>
    <x v="1"/>
    <x v="10"/>
    <n v="15.707795681912138"/>
    <n v="0.11"/>
    <n v="996"/>
    <n v="2330.9658020919492"/>
    <n v="15644.964499184489"/>
    <n v="-13313.99869709254"/>
    <x v="0"/>
    <n v="51"/>
    <n v="13"/>
    <n v="23"/>
    <n v="80"/>
    <n v="2"/>
    <s v="Carrier C"/>
    <n v="8.6732112112786126"/>
    <s v="Supplier 5"/>
    <s v="Kolkata"/>
    <n v="18"/>
    <n v="830"/>
    <n v="5"/>
    <n v="96.52735278531091"/>
    <s v="Pass"/>
    <n v="1.7273139283559402E-2"/>
    <s v="Road"/>
    <s v="Route B"/>
    <n v="806.10317770292295"/>
    <n v="0"/>
    <n v="13"/>
  </r>
  <r>
    <x v="1"/>
    <x v="11"/>
    <n v="90.635459982288666"/>
    <n v="0.95"/>
    <n v="960"/>
    <n v="6099.944115581452"/>
    <n v="87010.041582997117"/>
    <n v="-80910.097467415661"/>
    <x v="1"/>
    <n v="46"/>
    <n v="23"/>
    <n v="39"/>
    <n v="60"/>
    <n v="1"/>
    <s v="Carrier A"/>
    <n v="4.5239431243166628"/>
    <s v="Supplier 2"/>
    <s v="Kolkata"/>
    <n v="28"/>
    <n v="362"/>
    <n v="11"/>
    <n v="27.592363086663696"/>
    <s v="Pending"/>
    <n v="2.11698213729944E-4"/>
    <s v="Air"/>
    <s v="Route A"/>
    <n v="126.72303340940725"/>
    <n v="0"/>
    <n v="23"/>
  </r>
  <r>
    <x v="0"/>
    <x v="12"/>
    <n v="71.213389075360084"/>
    <n v="0.41"/>
    <n v="336"/>
    <n v="2873.7414460214413"/>
    <n v="23927.69872932099"/>
    <n v="-21053.957283299547"/>
    <x v="2"/>
    <n v="100"/>
    <n v="30"/>
    <n v="6"/>
    <n v="85"/>
    <n v="4"/>
    <s v="Carrier A"/>
    <n v="1.325274010184522"/>
    <s v="Supplier 4"/>
    <s v="Kolkata"/>
    <n v="3"/>
    <n v="563"/>
    <n v="3"/>
    <n v="32.321286213424031"/>
    <s v="Fail"/>
    <n v="2.16125374755591E-2"/>
    <s v="Road"/>
    <s v="Route B"/>
    <n v="402.96878907377061"/>
    <n v="0"/>
    <n v="30"/>
  </r>
  <r>
    <x v="1"/>
    <x v="13"/>
    <n v="16.160393317379977"/>
    <n v="0.05"/>
    <n v="249"/>
    <n v="4052.7384162378667"/>
    <n v="4023.9379360276143"/>
    <n v="28.800480210252317"/>
    <x v="3"/>
    <n v="80"/>
    <n v="8"/>
    <n v="33"/>
    <n v="48"/>
    <n v="9"/>
    <s v="Carrier A"/>
    <n v="9.5372830611083383"/>
    <s v="Supplier 5"/>
    <s v="Bangalore"/>
    <n v="23"/>
    <n v="173"/>
    <n v="10"/>
    <n v="97.82905011017327"/>
    <s v="Pending"/>
    <n v="1.63107423007154E-2"/>
    <s v="Road"/>
    <s v="Route B"/>
    <n v="547.24100516096848"/>
    <n v="1"/>
    <n v="19"/>
  </r>
  <r>
    <x v="1"/>
    <x v="14"/>
    <n v="99.171328638624189"/>
    <n v="0.26"/>
    <n v="562"/>
    <n v="8653.5709264698016"/>
    <n v="55734.286694906797"/>
    <n v="-47080.715768436996"/>
    <x v="0"/>
    <n v="54"/>
    <n v="29"/>
    <n v="39"/>
    <n v="78"/>
    <n v="5"/>
    <s v="Carrier B"/>
    <n v="2.0397701894493316"/>
    <s v="Supplier 1"/>
    <s v="Kolkata"/>
    <n v="25"/>
    <n v="558"/>
    <n v="14"/>
    <n v="5.7914366298629893"/>
    <s v="Pending"/>
    <n v="1.0068285156509399E-3"/>
    <s v="Air"/>
    <s v="Route B"/>
    <n v="929.23528996088965"/>
    <n v="0"/>
    <n v="29"/>
  </r>
  <r>
    <x v="1"/>
    <x v="15"/>
    <n v="36.98924492862691"/>
    <n v="0.94"/>
    <n v="469"/>
    <n v="5442.0867853976733"/>
    <n v="17347.955871526021"/>
    <n v="-11905.869086128347"/>
    <x v="0"/>
    <n v="9"/>
    <n v="8"/>
    <n v="21"/>
    <n v="69"/>
    <n v="7"/>
    <s v="Carrier B"/>
    <n v="2.4220397232752044"/>
    <s v="Supplier 1"/>
    <s v="Bangalore"/>
    <n v="14"/>
    <n v="580"/>
    <n v="7"/>
    <n v="97.121281751474314"/>
    <s v="Pass"/>
    <n v="2.2644057611985499E-2"/>
    <s v="Sea"/>
    <s v="Route B"/>
    <n v="127.86180000162541"/>
    <n v="0"/>
    <n v="8"/>
  </r>
  <r>
    <x v="1"/>
    <x v="16"/>
    <n v="7.5471721097912718"/>
    <n v="0.74"/>
    <n v="280"/>
    <n v="6453.7979681762854"/>
    <n v="2113.2081907415563"/>
    <n v="4340.5897774347286"/>
    <x v="1"/>
    <n v="2"/>
    <n v="5"/>
    <n v="24"/>
    <n v="78"/>
    <n v="1"/>
    <s v="Carrier B"/>
    <n v="4.1913245857055017"/>
    <s v="Supplier 1"/>
    <s v="Bangalore"/>
    <n v="3"/>
    <n v="399"/>
    <n v="21"/>
    <n v="77.106342497850008"/>
    <s v="Pass"/>
    <n v="1.0125630892580499E-2"/>
    <s v="Air"/>
    <s v="Route A"/>
    <n v="865.52577977124031"/>
    <n v="1"/>
    <n v="22"/>
  </r>
  <r>
    <x v="2"/>
    <x v="17"/>
    <n v="81.462534369237019"/>
    <n v="0.82"/>
    <n v="126"/>
    <n v="2629.3964348452619"/>
    <n v="10264.279330523865"/>
    <n v="-7634.8828956786028"/>
    <x v="1"/>
    <n v="45"/>
    <n v="17"/>
    <n v="23"/>
    <n v="85"/>
    <n v="9"/>
    <s v="Carrier C"/>
    <n v="3.5854189582323421"/>
    <s v="Supplier 1"/>
    <s v="Chennai"/>
    <n v="7"/>
    <n v="453"/>
    <n v="16"/>
    <n v="47.679680368355335"/>
    <s v="Fail"/>
    <n v="1.0202075491817599E-3"/>
    <s v="Air"/>
    <s v="Route C"/>
    <n v="670.93439079241034"/>
    <n v="0"/>
    <n v="17"/>
  </r>
  <r>
    <x v="0"/>
    <x v="18"/>
    <n v="36.443627770460935"/>
    <n v="0.23"/>
    <n v="620"/>
    <n v="9364.6735050761727"/>
    <n v="22595.049217685781"/>
    <n v="-13230.375712609608"/>
    <x v="2"/>
    <n v="10"/>
    <n v="10"/>
    <n v="35"/>
    <n v="46"/>
    <n v="8"/>
    <s v="Carrier C"/>
    <n v="4.339224714110709"/>
    <s v="Supplier 2"/>
    <s v="Kolkata"/>
    <n v="18"/>
    <n v="374"/>
    <n v="17"/>
    <n v="27.10798085484392"/>
    <s v="Pending"/>
    <n v="2.2319391107292599E-2"/>
    <s v="Sea"/>
    <s v="Route A"/>
    <n v="593.48025872065182"/>
    <n v="1"/>
    <n v="25"/>
  </r>
  <r>
    <x v="1"/>
    <x v="19"/>
    <n v="51.12387008796474"/>
    <n v="1"/>
    <n v="187"/>
    <n v="2553.4955849912149"/>
    <n v="9560.1637064494062"/>
    <n v="-7006.6681214581913"/>
    <x v="2"/>
    <n v="48"/>
    <n v="11"/>
    <n v="36"/>
    <n v="94"/>
    <n v="3"/>
    <s v="Carrier A"/>
    <n v="4.7426358828418769"/>
    <s v="Supplier 4"/>
    <s v="Chennai"/>
    <n v="20"/>
    <n v="694"/>
    <n v="16"/>
    <n v="82.373320587990207"/>
    <s v="Fail"/>
    <n v="3.6464508654170301E-2"/>
    <s v="Road"/>
    <s v="Route C"/>
    <n v="477.30763109090344"/>
    <n v="1"/>
    <n v="19"/>
  </r>
  <r>
    <x v="1"/>
    <x v="20"/>
    <n v="96.341072439963384"/>
    <n v="0.22"/>
    <n v="320"/>
    <n v="8128.0276968511916"/>
    <n v="30829.143180788284"/>
    <n v="-22701.115483937094"/>
    <x v="2"/>
    <n v="27"/>
    <n v="12"/>
    <n v="35"/>
    <n v="68"/>
    <n v="6"/>
    <s v="Carrier A"/>
    <n v="8.8783346509268402"/>
    <s v="Supplier 1"/>
    <s v="Chennai"/>
    <n v="29"/>
    <n v="309"/>
    <n v="6"/>
    <n v="65.686259608488626"/>
    <s v="Pass"/>
    <n v="4.2314165735345403E-2"/>
    <s v="Air"/>
    <s v="Route B"/>
    <n v="493.87121531620585"/>
    <n v="0"/>
    <n v="12"/>
  </r>
  <r>
    <x v="2"/>
    <x v="21"/>
    <n v="84.893868984950828"/>
    <n v="0.6"/>
    <n v="601"/>
    <n v="7087.0526963574366"/>
    <n v="51021.215259955447"/>
    <n v="-43934.162563598009"/>
    <x v="2"/>
    <n v="69"/>
    <n v="25"/>
    <n v="23"/>
    <n v="7"/>
    <n v="6"/>
    <s v="Carrier B"/>
    <n v="6.0378837692182978"/>
    <s v="Supplier 5"/>
    <s v="Chennai"/>
    <n v="19"/>
    <n v="791"/>
    <n v="4"/>
    <n v="61.735728954160933"/>
    <s v="Pending"/>
    <n v="1.8607567631014901E-4"/>
    <s v="Air"/>
    <s v="Route C"/>
    <n v="523.36091472015801"/>
    <n v="0"/>
    <n v="25"/>
  </r>
  <r>
    <x v="0"/>
    <x v="22"/>
    <n v="27.679780886501959"/>
    <n v="0.55000000000000004"/>
    <n v="884"/>
    <n v="2390.8078665561734"/>
    <n v="24468.926303667733"/>
    <n v="-22078.11843711156"/>
    <x v="2"/>
    <n v="71"/>
    <n v="1"/>
    <n v="50"/>
    <n v="63"/>
    <n v="10"/>
    <s v="Carrier A"/>
    <n v="9.5676489209230393"/>
    <s v="Supplier 4"/>
    <s v="Kolkata"/>
    <n v="22"/>
    <n v="780"/>
    <n v="28"/>
    <n v="50.120839612977349"/>
    <s v="Fail"/>
    <n v="2.5912754732111201E-2"/>
    <s v="Rail"/>
    <s v="Route C"/>
    <n v="205.57199582694707"/>
    <n v="1"/>
    <n v="38"/>
  </r>
  <r>
    <x v="2"/>
    <x v="23"/>
    <n v="4.3243411858641636"/>
    <n v="0.3"/>
    <n v="391"/>
    <n v="8858.367571011484"/>
    <n v="1690.8174036728881"/>
    <n v="7167.5501673385961"/>
    <x v="2"/>
    <n v="84"/>
    <n v="5"/>
    <n v="40"/>
    <n v="29"/>
    <n v="7"/>
    <s v="Carrier A"/>
    <n v="2.924857601145554"/>
    <s v="Supplier 5"/>
    <s v="Kolkata"/>
    <n v="11"/>
    <n v="568"/>
    <n v="29"/>
    <n v="98.609957242703871"/>
    <s v="Pending"/>
    <n v="1.34229156272273E-2"/>
    <s v="Rail"/>
    <s v="Route A"/>
    <n v="196.32944611241268"/>
    <n v="1"/>
    <n v="36"/>
  </r>
  <r>
    <x v="0"/>
    <x v="24"/>
    <n v="4.1563083593111081"/>
    <n v="0.32"/>
    <n v="209"/>
    <n v="9049.0778609398967"/>
    <n v="868.66844709602162"/>
    <n v="8180.409413843875"/>
    <x v="3"/>
    <n v="4"/>
    <n v="26"/>
    <n v="31"/>
    <n v="2"/>
    <n v="8"/>
    <s v="Carrier C"/>
    <n v="9.7412916892843686"/>
    <s v="Supplier 2"/>
    <s v="Bangalore"/>
    <n v="28"/>
    <n v="447"/>
    <n v="3"/>
    <n v="40.382359702924816"/>
    <s v="Pending"/>
    <n v="3.69131029262873E-2"/>
    <s v="Air"/>
    <s v="Route A"/>
    <n v="758.72477260293829"/>
    <n v="0"/>
    <n v="26"/>
  </r>
  <r>
    <x v="0"/>
    <x v="25"/>
    <n v="39.629343985092625"/>
    <n v="0.73"/>
    <n v="142"/>
    <n v="2174.777054350654"/>
    <n v="5627.3668458831526"/>
    <n v="-3452.5897915324986"/>
    <x v="3"/>
    <n v="82"/>
    <n v="11"/>
    <n v="42"/>
    <n v="52"/>
    <n v="3"/>
    <s v="Carrier C"/>
    <n v="2.2310736812817278"/>
    <s v="Supplier 4"/>
    <s v="Kolkata"/>
    <n v="19"/>
    <n v="934"/>
    <n v="23"/>
    <n v="78.280383118415386"/>
    <s v="Pending"/>
    <n v="3.7972312171141803E-2"/>
    <s v="Road"/>
    <s v="Route B"/>
    <n v="458.53594573920907"/>
    <n v="1"/>
    <n v="26"/>
  </r>
  <r>
    <x v="0"/>
    <x v="26"/>
    <n v="97.44694661789282"/>
    <n v="0.09"/>
    <n v="353"/>
    <n v="3716.4933258940368"/>
    <n v="34398.772156116167"/>
    <n v="-30682.278830222131"/>
    <x v="3"/>
    <n v="59"/>
    <n v="16"/>
    <n v="30"/>
    <n v="48"/>
    <n v="4"/>
    <s v="Carrier B"/>
    <n v="6.5075486210785511"/>
    <s v="Supplier 2"/>
    <s v="Bangalore"/>
    <n v="26"/>
    <n v="171"/>
    <n v="4"/>
    <n v="15.972229757181761"/>
    <s v="Pass"/>
    <n v="2.11931973672492E-2"/>
    <s v="Rail"/>
    <s v="Route A"/>
    <n v="617.8669164583772"/>
    <n v="0"/>
    <n v="16"/>
  </r>
  <r>
    <x v="2"/>
    <x v="27"/>
    <n v="92.557360812402024"/>
    <n v="0.42"/>
    <n v="352"/>
    <n v="2686.4572235759833"/>
    <n v="32580.191005965513"/>
    <n v="-29893.733782389529"/>
    <x v="2"/>
    <n v="47"/>
    <n v="9"/>
    <n v="29"/>
    <n v="62"/>
    <n v="8"/>
    <s v="Carrier C"/>
    <n v="7.406750952998074"/>
    <s v="Supplier 5"/>
    <s v="Mumbai"/>
    <n v="25"/>
    <n v="291"/>
    <n v="4"/>
    <n v="10.528245070042162"/>
    <s v="Fail"/>
    <n v="2.8646678378833699E-2"/>
    <s v="Sea"/>
    <s v="Route B"/>
    <n v="762.45918215568372"/>
    <n v="0"/>
    <n v="9"/>
  </r>
  <r>
    <x v="2"/>
    <x v="28"/>
    <n v="2.3972747055971411"/>
    <n v="0.12"/>
    <n v="394"/>
    <n v="6117.3246150839923"/>
    <n v="944.52623400527364"/>
    <n v="5172.7983810787191"/>
    <x v="1"/>
    <n v="48"/>
    <n v="15"/>
    <n v="20"/>
    <n v="24"/>
    <n v="4"/>
    <s v="Carrier B"/>
    <n v="9.898140508069222"/>
    <s v="Supplier 1"/>
    <s v="Mumbai"/>
    <n v="13"/>
    <n v="171"/>
    <n v="7"/>
    <n v="59.429381810691567"/>
    <s v="Fail"/>
    <n v="8.1575707929567205E-3"/>
    <s v="Air"/>
    <s v="Route A"/>
    <n v="123.43702751182708"/>
    <n v="0"/>
    <n v="15"/>
  </r>
  <r>
    <x v="2"/>
    <x v="29"/>
    <n v="63.447559185207332"/>
    <n v="0.03"/>
    <n v="253"/>
    <n v="8318.9031946171781"/>
    <n v="16052.232473857455"/>
    <n v="-7733.3292792402772"/>
    <x v="1"/>
    <n v="45"/>
    <n v="5"/>
    <n v="23"/>
    <n v="67"/>
    <n v="7"/>
    <s v="Carrier B"/>
    <n v="8.1009731453970311"/>
    <s v="Supplier 1"/>
    <s v="Kolkata"/>
    <n v="16"/>
    <n v="329"/>
    <n v="7"/>
    <n v="39.292875586065747"/>
    <s v="Pass"/>
    <n v="3.8780989365884901E-2"/>
    <s v="Road"/>
    <s v="Route B"/>
    <n v="764.93537594070813"/>
    <n v="1"/>
    <n v="14"/>
  </r>
  <r>
    <x v="0"/>
    <x v="30"/>
    <n v="8.0228592105263932"/>
    <n v="0.1"/>
    <n v="327"/>
    <n v="2766.3423668660889"/>
    <n v="2623.4749618421306"/>
    <n v="142.86740502395833"/>
    <x v="3"/>
    <n v="60"/>
    <n v="26"/>
    <n v="57"/>
    <n v="35"/>
    <n v="7"/>
    <s v="Carrier B"/>
    <n v="8.9545283153180151"/>
    <s v="Supplier 4"/>
    <s v="Kolkata"/>
    <n v="27"/>
    <n v="806"/>
    <n v="30"/>
    <n v="51.634893400109334"/>
    <s v="Pending"/>
    <n v="9.6539470535239296E-3"/>
    <s v="Road"/>
    <s v="Route C"/>
    <n v="880.08098824716103"/>
    <n v="1"/>
    <n v="37"/>
  </r>
  <r>
    <x v="1"/>
    <x v="31"/>
    <n v="50.847393051718697"/>
    <n v="0.28000000000000003"/>
    <n v="168"/>
    <n v="9655.1351027193978"/>
    <n v="8542.3620326887412"/>
    <n v="1112.7730700306565"/>
    <x v="3"/>
    <n v="6"/>
    <n v="17"/>
    <n v="32"/>
    <n v="44"/>
    <n v="4"/>
    <s v="Carrier B"/>
    <n v="2.6796609649814065"/>
    <s v="Supplier 3"/>
    <s v="Chennai"/>
    <n v="24"/>
    <n v="461"/>
    <n v="8"/>
    <n v="60.25114566159808"/>
    <s v="Pending"/>
    <n v="2.9890000066550799E-2"/>
    <s v="Rail"/>
    <s v="Route C"/>
    <n v="609.37920661842668"/>
    <n v="0"/>
    <n v="17"/>
  </r>
  <r>
    <x v="1"/>
    <x v="32"/>
    <n v="79.209936015656723"/>
    <n v="0.43"/>
    <n v="781"/>
    <n v="9571.5504873278187"/>
    <n v="61862.960028227899"/>
    <n v="-52291.40954090008"/>
    <x v="2"/>
    <n v="89"/>
    <n v="13"/>
    <n v="37"/>
    <n v="64"/>
    <n v="4"/>
    <s v="Carrier C"/>
    <n v="6.5991049012385838"/>
    <s v="Supplier 3"/>
    <s v="Kolkata"/>
    <n v="30"/>
    <n v="737"/>
    <n v="7"/>
    <n v="29.692467153749774"/>
    <s v="Pass"/>
    <n v="1.94603611938611E-2"/>
    <s v="Road"/>
    <s v="Route A"/>
    <n v="761.17390951487755"/>
    <n v="0"/>
    <n v="13"/>
  </r>
  <r>
    <x v="2"/>
    <x v="33"/>
    <n v="64.795435000155607"/>
    <n v="0.63"/>
    <n v="616"/>
    <n v="5149.9983504080365"/>
    <n v="39913.987960095852"/>
    <n v="-34763.989609687815"/>
    <x v="0"/>
    <n v="4"/>
    <n v="17"/>
    <n v="24"/>
    <n v="95"/>
    <n v="9"/>
    <s v="Carrier C"/>
    <n v="4.85827050343664"/>
    <s v="Supplier 5"/>
    <s v="Chennai"/>
    <n v="1"/>
    <n v="251"/>
    <n v="23"/>
    <n v="23.853427512896133"/>
    <s v="Fail"/>
    <n v="3.5410460122509202E-2"/>
    <s v="Sea"/>
    <s v="Route A"/>
    <n v="371.25529551987103"/>
    <n v="1"/>
    <n v="32"/>
  </r>
  <r>
    <x v="1"/>
    <x v="34"/>
    <n v="37.467592329842461"/>
    <n v="0.96"/>
    <n v="602"/>
    <n v="9061.7108955077238"/>
    <n v="22555.490582565162"/>
    <n v="-13493.779687057438"/>
    <x v="2"/>
    <n v="1"/>
    <n v="26"/>
    <n v="14"/>
    <n v="21"/>
    <n v="7"/>
    <s v="Carrier A"/>
    <n v="1.0194875708221189"/>
    <s v="Supplier 1"/>
    <s v="Chennai"/>
    <n v="4"/>
    <n v="452"/>
    <n v="10"/>
    <n v="10.754272815029333"/>
    <s v="Pass"/>
    <n v="6.4660455937205503E-3"/>
    <s v="Road"/>
    <s v="Route B"/>
    <n v="510.3580004335235"/>
    <n v="0"/>
    <n v="26"/>
  </r>
  <r>
    <x v="2"/>
    <x v="35"/>
    <n v="84.957786816350435"/>
    <n v="0.11"/>
    <n v="449"/>
    <n v="6541.3293448024651"/>
    <n v="38146.046280541348"/>
    <n v="-31604.716935738885"/>
    <x v="1"/>
    <n v="42"/>
    <n v="27"/>
    <n v="5"/>
    <n v="85"/>
    <n v="8"/>
    <s v="Carrier C"/>
    <n v="5.2881899903274094"/>
    <s v="Supplier 1"/>
    <s v="Delhi"/>
    <n v="3"/>
    <n v="367"/>
    <n v="2"/>
    <n v="58.004787044743765"/>
    <s v="Pass"/>
    <n v="5.4115409806058104E-3"/>
    <s v="Sea"/>
    <s v="Route C"/>
    <n v="553.42047123035582"/>
    <n v="0"/>
    <n v="27"/>
  </r>
  <r>
    <x v="1"/>
    <x v="36"/>
    <n v="9.8130025787540518"/>
    <n v="0.34"/>
    <n v="963"/>
    <n v="7573.4024578487333"/>
    <n v="9449.9214833401511"/>
    <n v="-1876.5190254914178"/>
    <x v="1"/>
    <n v="18"/>
    <n v="23"/>
    <n v="45"/>
    <n v="28"/>
    <n v="3"/>
    <s v="Carrier B"/>
    <n v="2.107951267159081"/>
    <s v="Supplier 2"/>
    <s v="Delhi"/>
    <n v="26"/>
    <n v="671"/>
    <n v="19"/>
    <n v="45.531364237162144"/>
    <s v="Fail"/>
    <n v="3.8055333792433498E-2"/>
    <s v="Air"/>
    <s v="Route C"/>
    <n v="403.8089742481805"/>
    <n v="0"/>
    <n v="23"/>
  </r>
  <r>
    <x v="1"/>
    <x v="37"/>
    <n v="23.399844752614349"/>
    <n v="0.05"/>
    <n v="963"/>
    <n v="2438.3399304700288"/>
    <n v="22534.050496767617"/>
    <n v="-20095.710566297588"/>
    <x v="1"/>
    <n v="25"/>
    <n v="8"/>
    <n v="39"/>
    <n v="21"/>
    <n v="9"/>
    <s v="Carrier A"/>
    <n v="1.5326552735904306"/>
    <s v="Supplier 3"/>
    <s v="Kolkata"/>
    <n v="24"/>
    <n v="867"/>
    <n v="15"/>
    <n v="34.343277465075381"/>
    <s v="Pending"/>
    <n v="2.61028808484811E-2"/>
    <s v="Sea"/>
    <s v="Route A"/>
    <n v="183.93296804359437"/>
    <n v="1"/>
    <n v="24"/>
  </r>
  <r>
    <x v="2"/>
    <x v="38"/>
    <n v="52.075930682707799"/>
    <n v="0.75"/>
    <n v="705"/>
    <n v="9692.3180402184316"/>
    <n v="36713.531131308999"/>
    <n v="-27021.213091090569"/>
    <x v="0"/>
    <n v="69"/>
    <n v="1"/>
    <n v="22"/>
    <n v="88"/>
    <n v="5"/>
    <s v="Carrier B"/>
    <n v="9.2359314372492278"/>
    <s v="Supplier 5"/>
    <s v="Mumbai"/>
    <n v="10"/>
    <n v="841"/>
    <n v="12"/>
    <n v="5.9306936455283177"/>
    <s v="Pending"/>
    <n v="6.1332689916450698E-3"/>
    <s v="Air"/>
    <s v="Route B"/>
    <n v="339.67286994860615"/>
    <n v="1"/>
    <n v="17"/>
  </r>
  <r>
    <x v="1"/>
    <x v="39"/>
    <n v="19.127477265823256"/>
    <n v="0.26"/>
    <n v="176"/>
    <n v="1912.4656631007608"/>
    <n v="3366.4359987848929"/>
    <n v="-1453.9703356841321"/>
    <x v="1"/>
    <n v="78"/>
    <n v="29"/>
    <n v="36"/>
    <n v="34"/>
    <n v="3"/>
    <s v="Carrier A"/>
    <n v="5.5625037788303837"/>
    <s v="Supplier 2"/>
    <s v="Kolkata"/>
    <n v="30"/>
    <n v="791"/>
    <n v="6"/>
    <n v="9.0058074287816421"/>
    <s v="Fail"/>
    <n v="1.4519722039968199E-2"/>
    <s v="Air"/>
    <s v="Route B"/>
    <n v="653.67299455203317"/>
    <n v="0"/>
    <n v="29"/>
  </r>
  <r>
    <x v="1"/>
    <x v="40"/>
    <n v="80.541424170940331"/>
    <n v="0.97"/>
    <n v="933"/>
    <n v="5724.9593504562654"/>
    <n v="75145.14875148733"/>
    <n v="-69420.189401031064"/>
    <x v="1"/>
    <n v="90"/>
    <n v="20"/>
    <n v="19"/>
    <n v="39"/>
    <n v="8"/>
    <s v="Carrier C"/>
    <n v="7.2295951397364737"/>
    <s v="Supplier 1"/>
    <s v="Kolkata"/>
    <n v="18"/>
    <n v="793"/>
    <n v="1"/>
    <n v="88.179407104217461"/>
    <s v="Pending"/>
    <n v="4.2132694305865699E-2"/>
    <s v="Road"/>
    <s v="Route A"/>
    <n v="529.80872398069187"/>
    <n v="0"/>
    <n v="20"/>
  </r>
  <r>
    <x v="1"/>
    <x v="41"/>
    <n v="99.113291615317166"/>
    <n v="0.35"/>
    <n v="556"/>
    <n v="5521.2052590109715"/>
    <n v="55106.990138116344"/>
    <n v="-49585.784879105369"/>
    <x v="1"/>
    <n v="64"/>
    <n v="19"/>
    <n v="25"/>
    <n v="38"/>
    <n v="8"/>
    <s v="Carrier B"/>
    <n v="5.7732637437666536"/>
    <s v="Supplier 4"/>
    <s v="Chennai"/>
    <n v="18"/>
    <n v="892"/>
    <n v="7"/>
    <n v="95.332064548772493"/>
    <s v="Fail"/>
    <n v="4.5302262398259598E-4"/>
    <s v="Sea"/>
    <s v="Route A"/>
    <n v="275.52437113130981"/>
    <n v="0"/>
    <n v="19"/>
  </r>
  <r>
    <x v="1"/>
    <x v="42"/>
    <n v="46.529167614516773"/>
    <n v="0.98"/>
    <n v="155"/>
    <n v="1839.6094258567639"/>
    <n v="7212.0209802500995"/>
    <n v="-5372.4115543933358"/>
    <x v="1"/>
    <n v="22"/>
    <n v="27"/>
    <n v="33"/>
    <n v="57"/>
    <n v="4"/>
    <s v="Carrier C"/>
    <n v="7.5262483268515084"/>
    <s v="Supplier 5"/>
    <s v="Bangalore"/>
    <n v="26"/>
    <n v="179"/>
    <n v="7"/>
    <n v="96.422820639571867"/>
    <s v="Fail"/>
    <n v="4.9392552886209501E-2"/>
    <s v="Road"/>
    <s v="Route A"/>
    <n v="635.65712050199193"/>
    <n v="0"/>
    <n v="27"/>
  </r>
  <r>
    <x v="0"/>
    <x v="43"/>
    <n v="11.743271776309239"/>
    <n v="0.06"/>
    <n v="598"/>
    <n v="5737.425599119023"/>
    <n v="7022.4765222329252"/>
    <n v="-1285.0509231139022"/>
    <x v="2"/>
    <n v="36"/>
    <n v="29"/>
    <n v="24"/>
    <n v="85"/>
    <n v="9"/>
    <s v="Carrier B"/>
    <n v="3.6940212683884543"/>
    <s v="Supplier 5"/>
    <s v="Mumbai"/>
    <n v="1"/>
    <n v="206"/>
    <n v="23"/>
    <n v="26.27736595733241"/>
    <s v="Pending"/>
    <n v="3.7230476798509799E-3"/>
    <s v="Air"/>
    <s v="Route A"/>
    <n v="716.04411975934067"/>
    <n v="0"/>
    <n v="29"/>
  </r>
  <r>
    <x v="2"/>
    <x v="44"/>
    <n v="51.35579091311039"/>
    <n v="0.34"/>
    <n v="919"/>
    <n v="7152.2860494355145"/>
    <n v="47195.971849148445"/>
    <n v="-40043.685799712934"/>
    <x v="1"/>
    <n v="13"/>
    <n v="19"/>
    <n v="25"/>
    <n v="72"/>
    <n v="6"/>
    <s v="Carrier C"/>
    <n v="7.5774496573766932"/>
    <s v="Supplier 2"/>
    <s v="Delhi"/>
    <n v="7"/>
    <n v="834"/>
    <n v="18"/>
    <n v="22.554106620887744"/>
    <s v="Fail"/>
    <n v="2.9626263204548801E-2"/>
    <s v="Rail"/>
    <s v="Route A"/>
    <n v="610.45326961922774"/>
    <n v="0"/>
    <n v="19"/>
  </r>
  <r>
    <x v="0"/>
    <x v="45"/>
    <n v="33.78413803306551"/>
    <n v="0.01"/>
    <n v="24"/>
    <n v="5267.9568075105208"/>
    <n v="810.81931279357218"/>
    <n v="4457.1374947169488"/>
    <x v="3"/>
    <n v="93"/>
    <n v="7"/>
    <n v="50"/>
    <n v="52"/>
    <n v="6"/>
    <s v="Carrier B"/>
    <n v="5.2151550087119096"/>
    <s v="Supplier 2"/>
    <s v="Chennai"/>
    <n v="25"/>
    <n v="794"/>
    <n v="25"/>
    <n v="66.312544439991655"/>
    <s v="Pass"/>
    <n v="3.21960461208411E-2"/>
    <s v="Rail"/>
    <s v="Route A"/>
    <n v="495.30569702847396"/>
    <n v="1"/>
    <n v="31"/>
  </r>
  <r>
    <x v="0"/>
    <x v="46"/>
    <n v="27.082207199888899"/>
    <n v="0.75"/>
    <n v="859"/>
    <n v="2556.7673606335957"/>
    <n v="23263.615984704564"/>
    <n v="-20706.848624070968"/>
    <x v="0"/>
    <n v="92"/>
    <n v="29"/>
    <n v="41"/>
    <n v="6"/>
    <n v="8"/>
    <s v="Carrier B"/>
    <n v="4.0709558370840826"/>
    <s v="Supplier 3"/>
    <s v="Chennai"/>
    <n v="18"/>
    <n v="870"/>
    <n v="23"/>
    <n v="77.32235321105162"/>
    <s v="Pending"/>
    <n v="3.6486105925362E-2"/>
    <s v="Road"/>
    <s v="Route B"/>
    <n v="380.43593711196428"/>
    <n v="0"/>
    <n v="29"/>
  </r>
  <r>
    <x v="1"/>
    <x v="47"/>
    <n v="95.712135880936088"/>
    <n v="0.93"/>
    <n v="910"/>
    <n v="7089.4742499341864"/>
    <n v="87098.043651651838"/>
    <n v="-80008.569401717657"/>
    <x v="3"/>
    <n v="4"/>
    <n v="15"/>
    <n v="30"/>
    <n v="51"/>
    <n v="9"/>
    <s v="Carrier B"/>
    <n v="8.9787507559499709"/>
    <s v="Supplier 1"/>
    <s v="Kolkata"/>
    <n v="10"/>
    <n v="964"/>
    <n v="20"/>
    <n v="19.712992911293647"/>
    <s v="Pending"/>
    <n v="3.8057358671321402E-3"/>
    <s v="Rail"/>
    <s v="Route A"/>
    <n v="581.60235505058677"/>
    <n v="1"/>
    <n v="29"/>
  </r>
  <r>
    <x v="0"/>
    <x v="48"/>
    <n v="76.035544426891718"/>
    <n v="0.28000000000000003"/>
    <n v="29"/>
    <n v="7397.0710045871801"/>
    <n v="2205.03078837986"/>
    <n v="5192.0402162073206"/>
    <x v="0"/>
    <n v="30"/>
    <n v="16"/>
    <n v="27"/>
    <n v="9"/>
    <n v="3"/>
    <s v="Carrier C"/>
    <n v="7.0958331565551385"/>
    <s v="Supplier 2"/>
    <s v="Mumbai"/>
    <n v="9"/>
    <n v="109"/>
    <n v="18"/>
    <n v="23.126363582464776"/>
    <s v="Fail"/>
    <n v="1.6981125407143999E-2"/>
    <s v="Rail"/>
    <s v="Route B"/>
    <n v="768.65191395437"/>
    <n v="1"/>
    <n v="21"/>
  </r>
  <r>
    <x v="2"/>
    <x v="49"/>
    <n v="78.897913205640037"/>
    <n v="0.19"/>
    <n v="99"/>
    <n v="8001.6132065190022"/>
    <n v="7810.8934073583641"/>
    <n v="190.7197991606381"/>
    <x v="2"/>
    <n v="97"/>
    <n v="24"/>
    <n v="56"/>
    <n v="9"/>
    <n v="6"/>
    <s v="Carrier C"/>
    <n v="2.5056210329009154"/>
    <s v="Supplier 5"/>
    <s v="Delhi"/>
    <n v="28"/>
    <n v="177"/>
    <n v="28"/>
    <n v="14.147815443979217"/>
    <s v="Pass"/>
    <n v="2.8258139854001298E-2"/>
    <s v="Rail"/>
    <s v="Route A"/>
    <n v="336.89016851997792"/>
    <n v="1"/>
    <n v="34"/>
  </r>
  <r>
    <x v="2"/>
    <x v="50"/>
    <n v="14.203484264803022"/>
    <n v="0.91"/>
    <n v="633"/>
    <n v="5910.8853896688988"/>
    <n v="8990.8055396203126"/>
    <n v="-3079.9201499514138"/>
    <x v="1"/>
    <n v="31"/>
    <n v="23"/>
    <n v="41"/>
    <n v="82"/>
    <n v="10"/>
    <s v="Carrier A"/>
    <n v="6.2478609149759912"/>
    <s v="Supplier 2"/>
    <s v="Delhi"/>
    <n v="20"/>
    <n v="306"/>
    <n v="21"/>
    <n v="45.178757924634517"/>
    <s v="Fail"/>
    <n v="4.7548008046711797E-2"/>
    <s v="Rail"/>
    <s v="Route B"/>
    <n v="496.24865029194046"/>
    <n v="0"/>
    <n v="23"/>
  </r>
  <r>
    <x v="0"/>
    <x v="51"/>
    <n v="26.70076097246173"/>
    <n v="0.61"/>
    <n v="154"/>
    <n v="9866.465457979697"/>
    <n v="4111.9171897591068"/>
    <n v="5754.5482682205902"/>
    <x v="3"/>
    <n v="100"/>
    <n v="4"/>
    <n v="46"/>
    <n v="52"/>
    <n v="1"/>
    <s v="Carrier A"/>
    <n v="4.7830005579476653"/>
    <s v="Supplier 5"/>
    <s v="Bangalore"/>
    <n v="18"/>
    <n v="673"/>
    <n v="28"/>
    <n v="14.190328344569981"/>
    <s v="Pending"/>
    <n v="1.7729511720835599E-2"/>
    <s v="Road"/>
    <s v="Route A"/>
    <n v="694.98231757944586"/>
    <n v="1"/>
    <n v="29"/>
  </r>
  <r>
    <x v="1"/>
    <x v="52"/>
    <n v="98.031829656465078"/>
    <n v="0.01"/>
    <n v="820"/>
    <n v="9435.7626089121295"/>
    <n v="80386.100318301367"/>
    <n v="-70950.337709389234"/>
    <x v="3"/>
    <n v="64"/>
    <n v="11"/>
    <n v="37"/>
    <n v="11"/>
    <n v="1"/>
    <s v="Carrier B"/>
    <n v="8.6310521797689468"/>
    <s v="Supplier 1"/>
    <s v="Mumbai"/>
    <n v="10"/>
    <n v="727"/>
    <n v="27"/>
    <n v="9.1668491485971515"/>
    <s v="Pending"/>
    <n v="2.12247161914382E-2"/>
    <s v="Air"/>
    <s v="Route C"/>
    <n v="602.89849883838338"/>
    <n v="1"/>
    <n v="28"/>
  </r>
  <r>
    <x v="1"/>
    <x v="53"/>
    <n v="30.341470711214214"/>
    <n v="0.93"/>
    <n v="242"/>
    <n v="8232.3348294258212"/>
    <n v="7342.6359121138394"/>
    <n v="889.69891731198186"/>
    <x v="3"/>
    <n v="96"/>
    <n v="25"/>
    <n v="18"/>
    <n v="54"/>
    <n v="3"/>
    <s v="Carrier B"/>
    <n v="1.0134865660958963"/>
    <s v="Supplier 1"/>
    <s v="Delhi"/>
    <n v="1"/>
    <n v="631"/>
    <n v="17"/>
    <n v="83.344058991677969"/>
    <s v="Pending"/>
    <n v="1.4103475760760299E-2"/>
    <s v="Air"/>
    <s v="Route B"/>
    <n v="750.73784066827091"/>
    <n v="0"/>
    <n v="25"/>
  </r>
  <r>
    <x v="0"/>
    <x v="54"/>
    <n v="31.146243160240854"/>
    <n v="0.11"/>
    <n v="622"/>
    <n v="6088.0214799408586"/>
    <n v="19372.963245669813"/>
    <n v="-13284.941765728954"/>
    <x v="0"/>
    <n v="33"/>
    <n v="22"/>
    <n v="55"/>
    <n v="61"/>
    <n v="3"/>
    <s v="Carrier B"/>
    <n v="4.3051034712876355"/>
    <s v="Supplier 1"/>
    <s v="Kolkata"/>
    <n v="26"/>
    <n v="497"/>
    <n v="29"/>
    <n v="30.186023375822508"/>
    <s v="Pass"/>
    <n v="2.4787719755397501E-2"/>
    <s v="Road"/>
    <s v="Route B"/>
    <n v="814.06999658218751"/>
    <n v="1"/>
    <n v="32"/>
  </r>
  <r>
    <x v="0"/>
    <x v="55"/>
    <n v="79.855058340789427"/>
    <n v="0.16"/>
    <n v="701"/>
    <n v="2925.6751703038126"/>
    <n v="55978.395896893388"/>
    <n v="-53052.720726589578"/>
    <x v="3"/>
    <n v="97"/>
    <n v="11"/>
    <n v="32"/>
    <n v="11"/>
    <n v="5"/>
    <s v="Carrier A"/>
    <n v="5.0143649550309073"/>
    <s v="Supplier 2"/>
    <s v="Delhi"/>
    <n v="27"/>
    <n v="918"/>
    <n v="5"/>
    <n v="30.323545256616502"/>
    <s v="Fail"/>
    <n v="4.5489196593963797E-2"/>
    <s v="Sea"/>
    <s v="Route B"/>
    <n v="323.01292795247883"/>
    <n v="0"/>
    <n v="11"/>
  </r>
  <r>
    <x v="1"/>
    <x v="56"/>
    <n v="20.986386037043378"/>
    <n v="0.9"/>
    <n v="93"/>
    <n v="4767.020484344137"/>
    <n v="1951.7339014450342"/>
    <n v="2815.2865828991025"/>
    <x v="0"/>
    <n v="25"/>
    <n v="23"/>
    <n v="52"/>
    <n v="83"/>
    <n v="5"/>
    <s v="Carrier C"/>
    <n v="1.7744297140717396"/>
    <s v="Supplier 1"/>
    <s v="Mumbai"/>
    <n v="24"/>
    <n v="826"/>
    <n v="28"/>
    <n v="12.836284572832753"/>
    <s v="Pass"/>
    <n v="1.1737554953874499E-2"/>
    <s v="Air"/>
    <s v="Route B"/>
    <n v="832.21080870602168"/>
    <n v="1"/>
    <n v="33"/>
  </r>
  <r>
    <x v="0"/>
    <x v="57"/>
    <n v="49.263205350734154"/>
    <n v="0.65"/>
    <n v="227"/>
    <n v="1605.8669003924058"/>
    <n v="11182.747614616654"/>
    <n v="-9576.8807142242476"/>
    <x v="2"/>
    <n v="5"/>
    <n v="18"/>
    <n v="46"/>
    <n v="51"/>
    <n v="1"/>
    <s v="Carrier B"/>
    <n v="9.1605585353818704"/>
    <s v="Supplier 2"/>
    <s v="Delhi"/>
    <n v="21"/>
    <n v="588"/>
    <n v="25"/>
    <n v="67.779622987078142"/>
    <s v="Pending"/>
    <n v="2.5111748302127101E-2"/>
    <s v="Rail"/>
    <s v="Route A"/>
    <n v="482.19123860252813"/>
    <n v="1"/>
    <n v="26"/>
  </r>
  <r>
    <x v="1"/>
    <x v="58"/>
    <n v="59.84156137728931"/>
    <n v="0.81"/>
    <n v="896"/>
    <n v="2021.1498103371077"/>
    <n v="53618.038994051225"/>
    <n v="-51596.88918371412"/>
    <x v="0"/>
    <n v="10"/>
    <n v="5"/>
    <n v="25"/>
    <n v="44"/>
    <n v="7"/>
    <s v="Carrier A"/>
    <n v="4.9384385647120901"/>
    <s v="Supplier 3"/>
    <s v="Delhi"/>
    <n v="18"/>
    <n v="396"/>
    <n v="7"/>
    <n v="65.047415094691459"/>
    <s v="Fail"/>
    <n v="1.7303747198591998E-2"/>
    <s v="Road"/>
    <s v="Route B"/>
    <n v="110.36433523136472"/>
    <n v="1"/>
    <n v="14"/>
  </r>
  <r>
    <x v="2"/>
    <x v="59"/>
    <n v="63.828398347710966"/>
    <n v="0.3"/>
    <n v="484"/>
    <n v="1061.618523013288"/>
    <n v="30892.944800292109"/>
    <n v="-29831.326277278822"/>
    <x v="0"/>
    <n v="100"/>
    <n v="16"/>
    <n v="15"/>
    <n v="26"/>
    <n v="7"/>
    <s v="Carrier B"/>
    <n v="7.2937225968677284"/>
    <s v="Supplier 1"/>
    <s v="Kolkata"/>
    <n v="11"/>
    <n v="176"/>
    <n v="4"/>
    <n v="1.900762243519458"/>
    <s v="Fail"/>
    <n v="4.4719401546382299E-3"/>
    <s v="Air"/>
    <s v="Route A"/>
    <n v="312.57427361009331"/>
    <n v="0"/>
    <n v="16"/>
  </r>
  <r>
    <x v="1"/>
    <x v="60"/>
    <n v="17.028027920188702"/>
    <n v="0.16"/>
    <n v="380"/>
    <n v="8864.0843495864356"/>
    <n v="6470.6506096717067"/>
    <n v="2393.4337399147289"/>
    <x v="1"/>
    <n v="41"/>
    <n v="27"/>
    <n v="53"/>
    <n v="72"/>
    <n v="8"/>
    <s v="Carrier C"/>
    <n v="4.3813681581023145"/>
    <s v="Supplier 4"/>
    <s v="Mumbai"/>
    <n v="29"/>
    <n v="929"/>
    <n v="24"/>
    <n v="87.213057815135684"/>
    <s v="Fail"/>
    <n v="2.85309061664905E-2"/>
    <s v="Rail"/>
    <s v="Route A"/>
    <n v="430.16909697513654"/>
    <n v="0"/>
    <n v="27"/>
  </r>
  <r>
    <x v="0"/>
    <x v="61"/>
    <n v="52.028749903294923"/>
    <n v="0.23"/>
    <n v="117"/>
    <n v="6885.5893508962527"/>
    <n v="6087.3637386855062"/>
    <n v="798.22561221074648"/>
    <x v="2"/>
    <n v="32"/>
    <n v="23"/>
    <n v="26"/>
    <n v="36"/>
    <n v="7"/>
    <s v="Carrier C"/>
    <n v="9.0303404225219488"/>
    <s v="Supplier 4"/>
    <s v="Kolkata"/>
    <n v="14"/>
    <n v="480"/>
    <n v="12"/>
    <n v="78.702393968878894"/>
    <s v="Fail"/>
    <n v="4.3674705382050497E-2"/>
    <s v="Air"/>
    <s v="Route A"/>
    <n v="164.36652824341942"/>
    <n v="0"/>
    <n v="23"/>
  </r>
  <r>
    <x v="2"/>
    <x v="62"/>
    <n v="72.796353955587364"/>
    <n v="0.89"/>
    <n v="270"/>
    <n v="3899.7468337292244"/>
    <n v="19655.015568008588"/>
    <n v="-15755.268734279363"/>
    <x v="2"/>
    <n v="86"/>
    <n v="2"/>
    <n v="27"/>
    <n v="40"/>
    <n v="7"/>
    <s v="Carrier C"/>
    <n v="7.2917013887767759"/>
    <s v="Supplier 2"/>
    <s v="Mumbai"/>
    <n v="13"/>
    <n v="751"/>
    <n v="14"/>
    <n v="21.048642725168644"/>
    <s v="Pass"/>
    <n v="1.87400140404437E-2"/>
    <s v="Sea"/>
    <s v="Route C"/>
    <n v="320.84651575911158"/>
    <n v="1"/>
    <n v="21"/>
  </r>
  <r>
    <x v="1"/>
    <x v="63"/>
    <n v="13.017376785287857"/>
    <n v="0.55000000000000004"/>
    <n v="246"/>
    <n v="4256.9491408502254"/>
    <n v="3202.2746891808129"/>
    <n v="1054.6744516694125"/>
    <x v="0"/>
    <n v="54"/>
    <n v="19"/>
    <n v="28"/>
    <n v="10"/>
    <n v="4"/>
    <s v="Carrier A"/>
    <n v="2.45793352798733"/>
    <s v="Supplier 3"/>
    <s v="Bangalore"/>
    <n v="18"/>
    <n v="736"/>
    <n v="10"/>
    <n v="20.075003975630484"/>
    <s v="Pending"/>
    <n v="3.6328432903821303E-2"/>
    <s v="Sea"/>
    <s v="Route A"/>
    <n v="687.28617786641735"/>
    <n v="0"/>
    <n v="19"/>
  </r>
  <r>
    <x v="1"/>
    <x v="64"/>
    <n v="89.634095608135326"/>
    <n v="0.11"/>
    <n v="134"/>
    <n v="8458.7308783671779"/>
    <n v="12010.968811490133"/>
    <n v="-3552.2379331229549"/>
    <x v="1"/>
    <n v="73"/>
    <n v="27"/>
    <n v="23"/>
    <n v="75"/>
    <n v="6"/>
    <s v="Carrier C"/>
    <n v="4.5853534681946524"/>
    <s v="Supplier 1"/>
    <s v="Delhi"/>
    <n v="17"/>
    <n v="328"/>
    <n v="6"/>
    <n v="8.6930424258772874"/>
    <s v="Fail"/>
    <n v="1.5948631471751501E-3"/>
    <s v="Air"/>
    <s v="Route C"/>
    <n v="771.22508468115745"/>
    <n v="0"/>
    <n v="27"/>
  </r>
  <r>
    <x v="1"/>
    <x v="65"/>
    <n v="33.697717206643127"/>
    <n v="0.72"/>
    <n v="457"/>
    <n v="8354.5796864819949"/>
    <n v="15399.85676343591"/>
    <n v="-7045.2770769539147"/>
    <x v="3"/>
    <n v="57"/>
    <n v="24"/>
    <n v="37"/>
    <n v="54"/>
    <n v="8"/>
    <s v="Carrier C"/>
    <n v="6.5805413478845951"/>
    <s v="Supplier 5"/>
    <s v="Kolkata"/>
    <n v="16"/>
    <n v="358"/>
    <n v="21"/>
    <n v="1.5972227430506774"/>
    <s v="Fail"/>
    <n v="4.9110959548423302E-2"/>
    <s v="Rail"/>
    <s v="Route C"/>
    <n v="555.85910367174347"/>
    <n v="0"/>
    <n v="24"/>
  </r>
  <r>
    <x v="1"/>
    <x v="66"/>
    <n v="26.034869773962086"/>
    <n v="0.52"/>
    <n v="704"/>
    <n v="8367.721618020154"/>
    <n v="18328.548320869308"/>
    <n v="-9960.8267028491537"/>
    <x v="1"/>
    <n v="13"/>
    <n v="17"/>
    <n v="52"/>
    <n v="19"/>
    <n v="8"/>
    <s v="Carrier A"/>
    <n v="2.2161427287713633"/>
    <s v="Supplier 5"/>
    <s v="Kolkata"/>
    <n v="24"/>
    <n v="867"/>
    <n v="28"/>
    <n v="42.084436738309961"/>
    <s v="Fail"/>
    <n v="3.4480632883402598E-2"/>
    <s v="Road"/>
    <s v="Route A"/>
    <n v="393.84334857842788"/>
    <n v="1"/>
    <n v="36"/>
  </r>
  <r>
    <x v="1"/>
    <x v="67"/>
    <n v="87.755432354001073"/>
    <n v="0.16"/>
    <n v="513"/>
    <n v="9473.7980325083372"/>
    <n v="45018.536797602552"/>
    <n v="-35544.738765094211"/>
    <x v="2"/>
    <n v="12"/>
    <n v="9"/>
    <n v="21"/>
    <n v="71"/>
    <n v="9"/>
    <s v="Carrier C"/>
    <n v="9.147811544710633"/>
    <s v="Supplier 1"/>
    <s v="Mumbai"/>
    <n v="10"/>
    <n v="198"/>
    <n v="11"/>
    <n v="7.0578761469782307"/>
    <s v="Pass"/>
    <n v="1.3195544431181499E-3"/>
    <s v="Sea"/>
    <s v="Route C"/>
    <n v="169.2718013847869"/>
    <n v="1"/>
    <n v="20"/>
  </r>
  <r>
    <x v="0"/>
    <x v="68"/>
    <n v="37.931812382790319"/>
    <n v="0.28999999999999998"/>
    <n v="163"/>
    <n v="3550.2184327809919"/>
    <n v="6182.8854183948224"/>
    <n v="-2632.6669856138305"/>
    <x v="0"/>
    <n v="0"/>
    <n v="8"/>
    <n v="20"/>
    <n v="58"/>
    <n v="8"/>
    <s v="Carrier B"/>
    <n v="1.1942518648849991"/>
    <s v="Supplier 2"/>
    <s v="Bangalore"/>
    <n v="2"/>
    <n v="375"/>
    <n v="18"/>
    <n v="97.113581563462205"/>
    <s v="Fail"/>
    <n v="1.98346787217418E-2"/>
    <s v="Rail"/>
    <s v="Route A"/>
    <n v="299.70630311810316"/>
    <n v="1"/>
    <n v="26"/>
  </r>
  <r>
    <x v="1"/>
    <x v="69"/>
    <n v="54.865528517069791"/>
    <n v="0.62"/>
    <n v="511"/>
    <n v="1752.3810874841247"/>
    <n v="28036.285072222665"/>
    <n v="-26283.903984738539"/>
    <x v="0"/>
    <n v="95"/>
    <n v="1"/>
    <n v="16"/>
    <n v="27"/>
    <n v="3"/>
    <s v="Carrier B"/>
    <n v="9.7052867901203488"/>
    <s v="Supplier 4"/>
    <s v="Kolkata"/>
    <n v="9"/>
    <n v="862"/>
    <n v="7"/>
    <n v="77.627765812748166"/>
    <s v="Pending"/>
    <n v="1.3623879886491099E-2"/>
    <s v="Air"/>
    <s v="Route A"/>
    <n v="207.66320620857562"/>
    <n v="1"/>
    <n v="10"/>
  </r>
  <r>
    <x v="0"/>
    <x v="70"/>
    <n v="47.914541824058766"/>
    <n v="0.9"/>
    <n v="32"/>
    <n v="7014.8879872033885"/>
    <n v="1533.2653383698805"/>
    <n v="5481.6226488335078"/>
    <x v="1"/>
    <n v="10"/>
    <n v="12"/>
    <n v="38"/>
    <n v="22"/>
    <n v="4"/>
    <s v="Carrier B"/>
    <n v="6.3157177546007226"/>
    <s v="Supplier 1"/>
    <s v="Bangalore"/>
    <n v="22"/>
    <n v="775"/>
    <n v="16"/>
    <n v="11.440781823761265"/>
    <s v="Pass"/>
    <n v="1.8305755986122298E-2"/>
    <s v="Road"/>
    <s v="Route C"/>
    <n v="183.27289874871101"/>
    <n v="1"/>
    <n v="20"/>
  </r>
  <r>
    <x v="2"/>
    <x v="71"/>
    <n v="6.3815331627479663"/>
    <n v="0.14000000000000001"/>
    <n v="637"/>
    <n v="8180.3370854254426"/>
    <n v="4065.0366246704543"/>
    <n v="4115.3004607549883"/>
    <x v="1"/>
    <n v="76"/>
    <n v="2"/>
    <n v="12"/>
    <n v="26"/>
    <n v="6"/>
    <s v="Carrier A"/>
    <n v="9.2281903170525172"/>
    <s v="Supplier 2"/>
    <s v="Bangalore"/>
    <n v="2"/>
    <n v="258"/>
    <n v="10"/>
    <n v="30.661677477859556"/>
    <s v="Pending"/>
    <n v="2.0787506078749698E-2"/>
    <s v="Road"/>
    <s v="Route A"/>
    <n v="405.16706788885585"/>
    <n v="1"/>
    <n v="16"/>
  </r>
  <r>
    <x v="2"/>
    <x v="72"/>
    <n v="90.204427520528071"/>
    <n v="0.88"/>
    <n v="478"/>
    <n v="2633.1219813122557"/>
    <n v="43117.716354812415"/>
    <n v="-40484.594373500157"/>
    <x v="0"/>
    <n v="57"/>
    <n v="29"/>
    <n v="32"/>
    <n v="77"/>
    <n v="9"/>
    <s v="Carrier A"/>
    <n v="6.5996141596895441"/>
    <s v="Supplier 1"/>
    <s v="Bangalore"/>
    <n v="21"/>
    <n v="152"/>
    <n v="11"/>
    <n v="55.760492895244212"/>
    <s v="Pending"/>
    <n v="3.2133296074383103E-2"/>
    <s v="Rail"/>
    <s v="Route B"/>
    <n v="677.9445698461833"/>
    <n v="0"/>
    <n v="29"/>
  </r>
  <r>
    <x v="2"/>
    <x v="73"/>
    <n v="83.851017681304597"/>
    <n v="0.41"/>
    <n v="375"/>
    <n v="7910.8869161406856"/>
    <n v="31444.131630489224"/>
    <n v="-23533.244714348541"/>
    <x v="3"/>
    <n v="17"/>
    <n v="25"/>
    <n v="17"/>
    <n v="66"/>
    <n v="5"/>
    <s v="Carrier B"/>
    <n v="1.5129368369160772"/>
    <s v="Supplier 4"/>
    <s v="Chennai"/>
    <n v="13"/>
    <n v="444"/>
    <n v="4"/>
    <n v="46.870238797617155"/>
    <s v="Fail"/>
    <n v="4.62054606451371E-2"/>
    <s v="Road"/>
    <s v="Route A"/>
    <n v="866.4728001296578"/>
    <n v="0"/>
    <n v="25"/>
  </r>
  <r>
    <x v="0"/>
    <x v="74"/>
    <n v="3.1700114135661548"/>
    <n v="0.64"/>
    <n v="904"/>
    <n v="5709.9452959692871"/>
    <n v="2865.690317863804"/>
    <n v="2844.2549781054831"/>
    <x v="1"/>
    <n v="41"/>
    <n v="6"/>
    <n v="10"/>
    <n v="1"/>
    <n v="5"/>
    <s v="Carrier A"/>
    <n v="5.2376546500374479"/>
    <s v="Supplier 4"/>
    <s v="Delhi"/>
    <n v="1"/>
    <n v="919"/>
    <n v="9"/>
    <n v="80.580852156447818"/>
    <s v="Fail"/>
    <n v="3.9661272410993504E-3"/>
    <s v="Rail"/>
    <s v="Route A"/>
    <n v="341.55265678322337"/>
    <n v="1"/>
    <n v="14"/>
  </r>
  <r>
    <x v="1"/>
    <x v="75"/>
    <n v="92.996884233970661"/>
    <n v="0.28999999999999998"/>
    <n v="106"/>
    <n v="1889.073589779335"/>
    <n v="9857.6697288008909"/>
    <n v="-7968.5961390215562"/>
    <x v="0"/>
    <n v="16"/>
    <n v="20"/>
    <n v="36"/>
    <n v="56"/>
    <n v="10"/>
    <s v="Carrier C"/>
    <n v="2.4738977610454609"/>
    <s v="Supplier 1"/>
    <s v="Chennai"/>
    <n v="25"/>
    <n v="759"/>
    <n v="11"/>
    <n v="48.064782640006591"/>
    <s v="Pass"/>
    <n v="2.0300690886687501E-2"/>
    <s v="Air"/>
    <s v="Route C"/>
    <n v="873.12964801765145"/>
    <n v="0"/>
    <n v="20"/>
  </r>
  <r>
    <x v="0"/>
    <x v="76"/>
    <n v="69.108799547430323"/>
    <n v="0.23"/>
    <n v="241"/>
    <n v="5328.3759842977579"/>
    <n v="16655.220690930706"/>
    <n v="-11326.844706632948"/>
    <x v="3"/>
    <n v="38"/>
    <n v="1"/>
    <n v="49"/>
    <n v="22"/>
    <n v="10"/>
    <s v="Carrier A"/>
    <n v="7.0545383368369263"/>
    <s v="Supplier 2"/>
    <s v="Bangalore"/>
    <n v="25"/>
    <n v="985"/>
    <n v="24"/>
    <n v="64.323597795600222"/>
    <s v="Pending"/>
    <n v="2.1800374515822198E-2"/>
    <s v="Rail"/>
    <s v="Route A"/>
    <n v="997.4134501331946"/>
    <n v="1"/>
    <n v="34"/>
  </r>
  <r>
    <x v="0"/>
    <x v="77"/>
    <n v="57.449742958971477"/>
    <n v="0.14000000000000001"/>
    <n v="359"/>
    <n v="2483.7601775427947"/>
    <n v="20624.457722270759"/>
    <n v="-18140.697544727966"/>
    <x v="2"/>
    <n v="96"/>
    <n v="28"/>
    <n v="31"/>
    <n v="57"/>
    <n v="4"/>
    <s v="Carrier B"/>
    <n v="6.7809466256178954"/>
    <s v="Supplier 1"/>
    <s v="Kolkata"/>
    <n v="26"/>
    <n v="334"/>
    <n v="5"/>
    <n v="42.952444748991837"/>
    <s v="Pass"/>
    <n v="3.05514181830755E-2"/>
    <s v="Road"/>
    <s v="Route B"/>
    <n v="852.56809891984994"/>
    <n v="0"/>
    <n v="28"/>
  </r>
  <r>
    <x v="0"/>
    <x v="78"/>
    <n v="6.3068831761119153"/>
    <n v="0.5"/>
    <n v="946"/>
    <n v="1292.4584179377562"/>
    <n v="5966.3114846018716"/>
    <n v="-4673.8530666641154"/>
    <x v="2"/>
    <n v="5"/>
    <n v="4"/>
    <n v="46"/>
    <n v="51"/>
    <n v="5"/>
    <s v="Carrier B"/>
    <n v="8.4670497708619905"/>
    <s v="Supplier 5"/>
    <s v="Mumbai"/>
    <n v="25"/>
    <n v="858"/>
    <n v="21"/>
    <n v="71.126514720403378"/>
    <s v="Pending"/>
    <n v="4.0968813324704499E-2"/>
    <s v="Sea"/>
    <s v="Route C"/>
    <n v="323.59220343132216"/>
    <n v="1"/>
    <n v="26"/>
  </r>
  <r>
    <x v="0"/>
    <x v="79"/>
    <n v="57.057031221103223"/>
    <n v="0.56000000000000005"/>
    <n v="198"/>
    <n v="7888.7232684270812"/>
    <n v="11297.292181778439"/>
    <n v="-3408.5689133513579"/>
    <x v="0"/>
    <n v="31"/>
    <n v="25"/>
    <n v="17"/>
    <n v="20"/>
    <n v="1"/>
    <s v="Carrier B"/>
    <n v="6.4963253642950445"/>
    <s v="Supplier 3"/>
    <s v="Bangalore"/>
    <n v="5"/>
    <n v="228"/>
    <n v="12"/>
    <n v="57.87090292403628"/>
    <s v="Pending"/>
    <n v="1.65871627480608E-3"/>
    <s v="Air"/>
    <s v="Route C"/>
    <n v="351.50421933503867"/>
    <n v="0"/>
    <n v="25"/>
  </r>
  <r>
    <x v="1"/>
    <x v="80"/>
    <n v="91.128318350444331"/>
    <n v="0.75"/>
    <n v="872"/>
    <n v="8651.6726829820655"/>
    <n v="79463.893601587464"/>
    <n v="-70812.220918605395"/>
    <x v="2"/>
    <n v="39"/>
    <n v="14"/>
    <n v="13"/>
    <n v="41"/>
    <n v="2"/>
    <s v="Carrier C"/>
    <n v="2.8331846794189746"/>
    <s v="Supplier 3"/>
    <s v="Chennai"/>
    <n v="8"/>
    <n v="202"/>
    <n v="5"/>
    <n v="76.961228023820013"/>
    <s v="Fail"/>
    <n v="2.8496621985053299E-2"/>
    <s v="Sea"/>
    <s v="Route B"/>
    <n v="787.77985049434449"/>
    <n v="0"/>
    <n v="14"/>
  </r>
  <r>
    <x v="0"/>
    <x v="81"/>
    <n v="72.819206930318217"/>
    <n v="0.09"/>
    <n v="774"/>
    <n v="4384.4134000458625"/>
    <n v="56362.066164066302"/>
    <n v="-51977.652764020437"/>
    <x v="2"/>
    <n v="48"/>
    <n v="6"/>
    <n v="29"/>
    <n v="8"/>
    <n v="5"/>
    <s v="Carrier B"/>
    <n v="4.0662775015120438"/>
    <s v="Supplier 3"/>
    <s v="Delhi"/>
    <n v="28"/>
    <n v="698"/>
    <n v="1"/>
    <n v="19.789592941903603"/>
    <s v="Pending"/>
    <n v="2.54754712154871E-2"/>
    <s v="Rail"/>
    <s v="Route B"/>
    <n v="276.77833594679885"/>
    <n v="0"/>
    <n v="6"/>
  </r>
  <r>
    <x v="1"/>
    <x v="82"/>
    <n v="17.034930739467917"/>
    <n v="0.13"/>
    <n v="336"/>
    <n v="2943.3818676094515"/>
    <n v="5723.7367284612201"/>
    <n v="-2780.3548608517685"/>
    <x v="2"/>
    <n v="42"/>
    <n v="19"/>
    <n v="32"/>
    <n v="72"/>
    <n v="1"/>
    <s v="Carrier A"/>
    <n v="4.7081818735419301"/>
    <s v="Supplier 2"/>
    <s v="Mumbai"/>
    <n v="6"/>
    <n v="955"/>
    <n v="26"/>
    <n v="4.4652784349432402"/>
    <s v="Pending"/>
    <n v="4.1378770486223598E-2"/>
    <s v="Road"/>
    <s v="Route C"/>
    <n v="589.97855562804068"/>
    <n v="1"/>
    <n v="27"/>
  </r>
  <r>
    <x v="0"/>
    <x v="83"/>
    <n v="68.911246211606326"/>
    <n v="0.82"/>
    <n v="663"/>
    <n v="2411.754632110491"/>
    <n v="45688.156238294992"/>
    <n v="-43276.401606184503"/>
    <x v="2"/>
    <n v="65"/>
    <n v="24"/>
    <n v="25"/>
    <n v="7"/>
    <n v="8"/>
    <s v="Carrier B"/>
    <n v="4.9498395779969488"/>
    <s v="Supplier 1"/>
    <s v="Bangalore"/>
    <n v="20"/>
    <n v="443"/>
    <n v="5"/>
    <n v="97.730593800533043"/>
    <s v="Fail"/>
    <n v="7.7300613406724797E-3"/>
    <s v="Road"/>
    <s v="Route A"/>
    <n v="682.97101822609329"/>
    <n v="0"/>
    <n v="24"/>
  </r>
  <r>
    <x v="0"/>
    <x v="84"/>
    <n v="89.104367292102253"/>
    <n v="0.99"/>
    <n v="618"/>
    <n v="2048.2900998487103"/>
    <n v="55066.498986519189"/>
    <n v="-53018.20888667048"/>
    <x v="2"/>
    <n v="73"/>
    <n v="26"/>
    <n v="46"/>
    <n v="80"/>
    <n v="10"/>
    <s v="Carrier A"/>
    <n v="8.381615624922631"/>
    <s v="Supplier 5"/>
    <s v="Chennai"/>
    <n v="24"/>
    <n v="589"/>
    <n v="22"/>
    <n v="33.808636513209095"/>
    <s v="Pass"/>
    <n v="4.8434565771180403E-2"/>
    <s v="Air"/>
    <s v="Route B"/>
    <n v="465.45700596368795"/>
    <n v="0"/>
    <n v="26"/>
  </r>
  <r>
    <x v="2"/>
    <x v="85"/>
    <n v="76.962994415193876"/>
    <n v="0.83"/>
    <n v="25"/>
    <n v="8684.6130592538575"/>
    <n v="1924.074860379847"/>
    <n v="6760.53819887401"/>
    <x v="1"/>
    <n v="15"/>
    <n v="18"/>
    <n v="6"/>
    <n v="66"/>
    <n v="2"/>
    <s v="Carrier C"/>
    <n v="8.2491687048717282"/>
    <s v="Supplier 5"/>
    <s v="Chennai"/>
    <n v="4"/>
    <n v="211"/>
    <n v="2"/>
    <n v="69.929345518672307"/>
    <s v="Fail"/>
    <n v="1.3744289997457601E-2"/>
    <s v="Road"/>
    <s v="Route B"/>
    <n v="842.68683000464148"/>
    <n v="0"/>
    <n v="18"/>
  </r>
  <r>
    <x v="1"/>
    <x v="86"/>
    <n v="19.998176940404221"/>
    <n v="0.18"/>
    <n v="223"/>
    <n v="1229.5910285649834"/>
    <n v="4459.5934577101416"/>
    <n v="-3230.0024291451582"/>
    <x v="2"/>
    <n v="32"/>
    <n v="14"/>
    <n v="22"/>
    <n v="22"/>
    <n v="6"/>
    <s v="Carrier B"/>
    <n v="1.4543053101535515"/>
    <s v="Supplier 1"/>
    <s v="Mumbai"/>
    <n v="4"/>
    <n v="569"/>
    <n v="18"/>
    <n v="74.608969995194684"/>
    <s v="Pass"/>
    <n v="2.05151293076625E-2"/>
    <s v="Rail"/>
    <s v="Route A"/>
    <n v="264.25488983586649"/>
    <n v="1"/>
    <n v="24"/>
  </r>
  <r>
    <x v="0"/>
    <x v="87"/>
    <n v="80.41403665035574"/>
    <n v="0.24"/>
    <n v="79"/>
    <n v="5133.8467010866916"/>
    <n v="6352.7088953781031"/>
    <n v="-1218.8621942914115"/>
    <x v="3"/>
    <n v="5"/>
    <n v="7"/>
    <n v="44"/>
    <n v="55"/>
    <n v="10"/>
    <s v="Carrier A"/>
    <n v="6.5758037975485353"/>
    <s v="Supplier 3"/>
    <s v="Chennai"/>
    <n v="27"/>
    <n v="523"/>
    <n v="17"/>
    <n v="28.69699682414317"/>
    <s v="Fail"/>
    <n v="3.6937377878392803E-2"/>
    <s v="Sea"/>
    <s v="Route B"/>
    <n v="879.3592177349243"/>
    <n v="1"/>
    <n v="27"/>
  </r>
  <r>
    <x v="2"/>
    <x v="88"/>
    <n v="75.27040697572501"/>
    <n v="0.57999999999999996"/>
    <n v="737"/>
    <n v="9444.7420330629793"/>
    <n v="55474.289941109331"/>
    <n v="-46029.547908046356"/>
    <x v="3"/>
    <n v="60"/>
    <n v="18"/>
    <n v="32"/>
    <n v="85"/>
    <n v="7"/>
    <s v="Carrier A"/>
    <n v="3.8012531329310777"/>
    <s v="Supplier 2"/>
    <s v="Mumbai"/>
    <n v="21"/>
    <n v="953"/>
    <n v="11"/>
    <n v="68.184919057041171"/>
    <s v="Pending"/>
    <n v="7.22204401882931E-3"/>
    <s v="Sea"/>
    <s v="Route A"/>
    <n v="103.91624796070495"/>
    <n v="0"/>
    <n v="18"/>
  </r>
  <r>
    <x v="2"/>
    <x v="89"/>
    <n v="97.760085581938668"/>
    <n v="0.1"/>
    <n v="134"/>
    <n v="5924.682566853231"/>
    <n v="13099.851467979781"/>
    <n v="-7175.1689011265498"/>
    <x v="2"/>
    <n v="90"/>
    <n v="1"/>
    <n v="34"/>
    <n v="27"/>
    <n v="8"/>
    <s v="Carrier B"/>
    <n v="9.9298162452772587"/>
    <s v="Supplier 1"/>
    <s v="Kolkata"/>
    <n v="23"/>
    <n v="370"/>
    <n v="11"/>
    <n v="46.603873381644469"/>
    <s v="Pending"/>
    <n v="1.90766573395907E-2"/>
    <s v="Rail"/>
    <s v="Route B"/>
    <n v="517.4999739290605"/>
    <n v="1"/>
    <n v="19"/>
  </r>
  <r>
    <x v="1"/>
    <x v="90"/>
    <n v="13.881913501359142"/>
    <n v="0.56000000000000005"/>
    <n v="320"/>
    <n v="9592.6335702803117"/>
    <n v="4442.2123204349255"/>
    <n v="5150.4212498453862"/>
    <x v="0"/>
    <n v="66"/>
    <n v="18"/>
    <n v="16"/>
    <n v="96"/>
    <n v="7"/>
    <s v="Carrier B"/>
    <n v="7.6744307081126939"/>
    <s v="Supplier 3"/>
    <s v="Bangalore"/>
    <n v="8"/>
    <n v="585"/>
    <n v="8"/>
    <n v="85.675963335797974"/>
    <s v="Pass"/>
    <n v="1.2193822244013899E-2"/>
    <s v="Rail"/>
    <s v="Route B"/>
    <n v="990.07847250581119"/>
    <n v="0"/>
    <n v="18"/>
  </r>
  <r>
    <x v="2"/>
    <x v="91"/>
    <n v="62.111965463961788"/>
    <n v="0.9"/>
    <n v="916"/>
    <n v="1935.2067935075991"/>
    <n v="56894.560364988996"/>
    <n v="-54959.353571481399"/>
    <x v="3"/>
    <n v="98"/>
    <n v="22"/>
    <n v="33"/>
    <n v="85"/>
    <n v="7"/>
    <s v="Carrier B"/>
    <n v="7.4715140844011456"/>
    <s v="Supplier 4"/>
    <s v="Delhi"/>
    <n v="5"/>
    <n v="207"/>
    <n v="28"/>
    <n v="39.772882502339975"/>
    <s v="Pending"/>
    <n v="6.2600185820939503E-3"/>
    <s v="Rail"/>
    <s v="Route B"/>
    <n v="996.77831495062378"/>
    <n v="1"/>
    <n v="35"/>
  </r>
  <r>
    <x v="2"/>
    <x v="92"/>
    <n v="47.714233075820232"/>
    <n v="0.44"/>
    <n v="276"/>
    <n v="2100.1297546259366"/>
    <n v="13169.128328926385"/>
    <n v="-11068.998574300447"/>
    <x v="3"/>
    <n v="90"/>
    <n v="25"/>
    <n v="33"/>
    <n v="10"/>
    <n v="8"/>
    <s v="Carrier B"/>
    <n v="4.4695000261236011"/>
    <s v="Supplier 2"/>
    <s v="Mumbai"/>
    <n v="4"/>
    <n v="671"/>
    <n v="29"/>
    <n v="62.612690395614344"/>
    <s v="Pass"/>
    <n v="3.3343182522473898E-3"/>
    <s v="Rail"/>
    <s v="Route B"/>
    <n v="230.09278253676294"/>
    <n v="1"/>
    <n v="37"/>
  </r>
  <r>
    <x v="0"/>
    <x v="93"/>
    <n v="69.290831002905492"/>
    <n v="0.88"/>
    <n v="114"/>
    <n v="4531.4021336919095"/>
    <n v="7899.1547343312259"/>
    <n v="-3367.7526006393164"/>
    <x v="2"/>
    <n v="63"/>
    <n v="17"/>
    <n v="41"/>
    <n v="66"/>
    <n v="1"/>
    <s v="Carrier C"/>
    <n v="7.0064320590043945"/>
    <s v="Supplier 4"/>
    <s v="Chennai"/>
    <n v="21"/>
    <n v="824"/>
    <n v="20"/>
    <n v="35.633652343343876"/>
    <s v="Fail"/>
    <n v="4.1657817954241401E-2"/>
    <s v="Air"/>
    <s v="Route A"/>
    <n v="823.52384588815585"/>
    <n v="1"/>
    <n v="21"/>
  </r>
  <r>
    <x v="2"/>
    <x v="94"/>
    <n v="3.0376887246314141"/>
    <n v="0.97"/>
    <n v="987"/>
    <n v="7888.3565466618729"/>
    <n v="2998.1987712112059"/>
    <n v="4890.157775450667"/>
    <x v="2"/>
    <n v="77"/>
    <n v="26"/>
    <n v="26"/>
    <n v="72"/>
    <n v="9"/>
    <s v="Carrier B"/>
    <n v="6.9429459420325808"/>
    <s v="Supplier 2"/>
    <s v="Delhi"/>
    <n v="12"/>
    <n v="908"/>
    <n v="14"/>
    <n v="60.387378614862122"/>
    <s v="Pass"/>
    <n v="1.46360749847278E-2"/>
    <s v="Rail"/>
    <s v="Route B"/>
    <n v="846.66525698669477"/>
    <n v="0"/>
    <n v="26"/>
  </r>
  <r>
    <x v="0"/>
    <x v="95"/>
    <n v="77.903927219447752"/>
    <n v="0.65"/>
    <n v="672"/>
    <n v="7386.3639440486641"/>
    <n v="52351.439091468892"/>
    <n v="-44965.075147420226"/>
    <x v="2"/>
    <n v="15"/>
    <n v="14"/>
    <n v="44"/>
    <n v="26"/>
    <n v="9"/>
    <s v="Carrier B"/>
    <n v="8.6303388696027543"/>
    <s v="Supplier 4"/>
    <s v="Mumbai"/>
    <n v="18"/>
    <n v="450"/>
    <n v="26"/>
    <n v="58.890685768589982"/>
    <s v="Pending"/>
    <n v="1.21088212958507E-2"/>
    <s v="Air"/>
    <s v="Route A"/>
    <n v="778.8642413766479"/>
    <n v="1"/>
    <n v="35"/>
  </r>
  <r>
    <x v="2"/>
    <x v="96"/>
    <n v="24.42313142037338"/>
    <n v="0.28999999999999998"/>
    <n v="324"/>
    <n v="7698.4247656321168"/>
    <n v="7913.0945802009755"/>
    <n v="-214.66981456885878"/>
    <x v="0"/>
    <n v="67"/>
    <n v="2"/>
    <n v="56"/>
    <n v="32"/>
    <n v="3"/>
    <s v="Carrier C"/>
    <n v="5.3528780439968093"/>
    <s v="Supplier 3"/>
    <s v="Mumbai"/>
    <n v="28"/>
    <n v="648"/>
    <n v="28"/>
    <n v="17.80375633139127"/>
    <s v="Pending"/>
    <n v="3.8720476814821297E-2"/>
    <s v="Road"/>
    <s v="Route A"/>
    <n v="188.74214114905698"/>
    <n v="1"/>
    <n v="31"/>
  </r>
  <r>
    <x v="0"/>
    <x v="97"/>
    <n v="3.5261112591434158"/>
    <n v="0.56000000000000005"/>
    <n v="62"/>
    <n v="4370.9165799845359"/>
    <n v="218.61889806689177"/>
    <n v="4152.2976819176438"/>
    <x v="3"/>
    <n v="46"/>
    <n v="19"/>
    <n v="23"/>
    <n v="4"/>
    <n v="9"/>
    <s v="Carrier A"/>
    <n v="7.9048456112096748"/>
    <s v="Supplier 4"/>
    <s v="Mumbai"/>
    <n v="10"/>
    <n v="535"/>
    <n v="13"/>
    <n v="65.765155926367456"/>
    <s v="Fail"/>
    <n v="3.3762378347179801E-2"/>
    <s v="Road"/>
    <s v="Route A"/>
    <n v="540.13242286796776"/>
    <n v="0"/>
    <n v="19"/>
  </r>
  <r>
    <x v="1"/>
    <x v="98"/>
    <n v="19.754604866878601"/>
    <n v="0.43"/>
    <n v="913"/>
    <n v="8525.9525596835265"/>
    <n v="18035.954243460164"/>
    <n v="-9510.0016837766379"/>
    <x v="1"/>
    <n v="53"/>
    <n v="1"/>
    <n v="37"/>
    <n v="27"/>
    <n v="7"/>
    <s v="Carrier B"/>
    <n v="1.4098010951380731"/>
    <s v="Supplier 5"/>
    <s v="Chennai"/>
    <n v="28"/>
    <n v="581"/>
    <n v="9"/>
    <n v="5.604690864371781"/>
    <s v="Pending"/>
    <n v="2.9081221693512599E-2"/>
    <s v="Rail"/>
    <s v="Route A"/>
    <n v="882.19886354704147"/>
    <n v="1"/>
    <n v="16"/>
  </r>
  <r>
    <x v="0"/>
    <x v="99"/>
    <n v="68.517832699276639"/>
    <n v="0.17"/>
    <n v="627"/>
    <n v="9185.1858291817043"/>
    <n v="42960.681102446455"/>
    <n v="-33775.495273264751"/>
    <x v="2"/>
    <n v="55"/>
    <n v="8"/>
    <n v="31"/>
    <n v="59"/>
    <n v="6"/>
    <s v="Carrier B"/>
    <n v="1.3110237561206226"/>
    <s v="Supplier 2"/>
    <s v="Chennai"/>
    <n v="29"/>
    <n v="921"/>
    <n v="2"/>
    <n v="38.07289852062604"/>
    <s v="Fail"/>
    <n v="3.46027290705503E-3"/>
    <s v="Rail"/>
    <s v="Route B"/>
    <n v="210.74300896424614"/>
    <n v="0"/>
    <n v="8"/>
  </r>
  <r>
    <x v="3"/>
    <x v="100"/>
    <m/>
    <m/>
    <m/>
    <m/>
    <m/>
    <m/>
    <x v="4"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69.808005542115765"/>
    <n v="0.55000000000000004"/>
    <n v="802"/>
    <n v="8661.9967923923832"/>
    <x v="0"/>
    <n v="-47324.023652384458"/>
    <s v="Non-binary"/>
    <n v="58"/>
    <n v="7"/>
    <n v="58"/>
    <n v="96"/>
    <n v="4"/>
    <x v="0"/>
    <n v="2.9565721394308069"/>
    <x v="0"/>
    <s v="Mumbai"/>
    <n v="29"/>
    <n v="215"/>
    <n v="29"/>
    <n v="46.279879240508322"/>
    <s v="Pending"/>
    <n v="2.2641036084992501E-3"/>
    <x v="0"/>
    <s v="Route B"/>
    <n v="187.75207545920392"/>
    <n v="1"/>
    <n v="33"/>
    <n v="0"/>
  </r>
  <r>
    <x v="1"/>
    <s v="SKU1"/>
    <n v="14.843523275084339"/>
    <n v="0.95"/>
    <n v="736"/>
    <n v="7460.9000654458487"/>
    <x v="1"/>
    <n v="-3463.9330650162246"/>
    <s v="Female"/>
    <n v="53"/>
    <n v="30"/>
    <n v="53"/>
    <n v="37"/>
    <n v="2"/>
    <x v="1"/>
    <n v="9.7165747714313095"/>
    <x v="0"/>
    <s v="Mumbai"/>
    <n v="23"/>
    <n v="517"/>
    <n v="30"/>
    <n v="33.616768953730002"/>
    <s v="Pending"/>
    <n v="4.8540680263887102E-2"/>
    <x v="0"/>
    <s v="Route B"/>
    <n v="503.06557914966919"/>
    <n v="0"/>
    <n v="30"/>
    <n v="25"/>
  </r>
  <r>
    <x v="0"/>
    <s v="SKU2"/>
    <n v="11.319683293090566"/>
    <n v="0.34"/>
    <n v="8"/>
    <n v="9577.7496258687297"/>
    <x v="2"/>
    <n v="9487.1921595240055"/>
    <s v="Unknown"/>
    <n v="1"/>
    <n v="10"/>
    <n v="39"/>
    <n v="88"/>
    <n v="2"/>
    <x v="0"/>
    <n v="8.0544792617321548"/>
    <x v="1"/>
    <s v="Mumbai"/>
    <n v="12"/>
    <n v="971"/>
    <n v="27"/>
    <n v="30.688019348284204"/>
    <s v="Pending"/>
    <n v="4.5805926191992301E-2"/>
    <x v="1"/>
    <s v="Route C"/>
    <n v="141.92028177151906"/>
    <n v="1"/>
    <n v="29"/>
    <n v="44"/>
  </r>
  <r>
    <x v="1"/>
    <s v="SKU3"/>
    <n v="61.163343016437736"/>
    <n v="0.68"/>
    <n v="83"/>
    <n v="7766.8364256852328"/>
    <x v="3"/>
    <n v="2690.2789553209004"/>
    <s v="Non-binary"/>
    <n v="23"/>
    <n v="13"/>
    <n v="42"/>
    <n v="59"/>
    <n v="6"/>
    <x v="2"/>
    <n v="1.7295685635434288"/>
    <x v="2"/>
    <s v="Kolkata"/>
    <n v="24"/>
    <n v="937"/>
    <n v="18"/>
    <n v="35.624741397125028"/>
    <s v="Fail"/>
    <n v="4.7466486206477497E-2"/>
    <x v="2"/>
    <s v="Route A"/>
    <n v="254.77615921928663"/>
    <n v="1"/>
    <n v="24"/>
    <n v="44"/>
  </r>
  <r>
    <x v="1"/>
    <s v="SKU4"/>
    <n v="4.8054960363458932"/>
    <n v="0.26"/>
    <n v="871"/>
    <n v="2686.5051515674468"/>
    <x v="4"/>
    <n v="-1499.0818960898259"/>
    <s v="Non-binary"/>
    <n v="5"/>
    <n v="3"/>
    <n v="8"/>
    <n v="56"/>
    <n v="8"/>
    <x v="1"/>
    <n v="3.8905479158706715"/>
    <x v="1"/>
    <s v="Delhi"/>
    <n v="5"/>
    <n v="414"/>
    <n v="3"/>
    <n v="92.065160598712851"/>
    <s v="Fail"/>
    <n v="3.1455795228330002E-2"/>
    <x v="1"/>
    <s v="Route A"/>
    <n v="923.44063171192215"/>
    <n v="0"/>
    <n v="3"/>
    <n v="13"/>
  </r>
  <r>
    <x v="0"/>
    <s v="SKU5"/>
    <n v="1.6999760138659377"/>
    <n v="0.87"/>
    <n v="147"/>
    <n v="2828.3487459757589"/>
    <x v="5"/>
    <n v="2578.4522719374659"/>
    <s v="Non-binary"/>
    <n v="90"/>
    <n v="27"/>
    <n v="27"/>
    <n v="66"/>
    <n v="3"/>
    <x v="0"/>
    <n v="4.4440988643822932"/>
    <x v="3"/>
    <s v="Bangalore"/>
    <n v="10"/>
    <n v="104"/>
    <n v="17"/>
    <n v="56.766475557431797"/>
    <s v="Fail"/>
    <n v="2.77919351157116E-2"/>
    <x v="0"/>
    <s v="Route A"/>
    <n v="235.46123673553751"/>
    <n v="0"/>
    <n v="27"/>
    <n v="3"/>
  </r>
  <r>
    <x v="1"/>
    <s v="SKU6"/>
    <n v="4.0783328631079447"/>
    <n v="0.48"/>
    <n v="65"/>
    <n v="7823.4765595317367"/>
    <x v="6"/>
    <n v="7558.3849234297204"/>
    <s v="Male"/>
    <n v="11"/>
    <n v="15"/>
    <n v="38"/>
    <n v="58"/>
    <n v="8"/>
    <x v="2"/>
    <n v="3.8807633029520034"/>
    <x v="0"/>
    <s v="Kolkata"/>
    <n v="14"/>
    <n v="314"/>
    <n v="24"/>
    <n v="1.0850685695870688"/>
    <s v="Pending"/>
    <n v="1.0009106193041401E-2"/>
    <x v="3"/>
    <s v="Route A"/>
    <n v="134.36909686103172"/>
    <n v="1"/>
    <n v="32"/>
    <n v="3"/>
  </r>
  <r>
    <x v="2"/>
    <s v="SKU7"/>
    <n v="42.958384382460068"/>
    <n v="0.59"/>
    <n v="426"/>
    <n v="8496.1038130898378"/>
    <x v="7"/>
    <n v="-9804.1679338381509"/>
    <s v="Female"/>
    <n v="93"/>
    <n v="17"/>
    <n v="23"/>
    <n v="11"/>
    <n v="1"/>
    <x v="0"/>
    <n v="2.3483387844177805"/>
    <x v="3"/>
    <s v="Bangalore"/>
    <n v="22"/>
    <n v="564"/>
    <n v="1"/>
    <n v="99.466108603599125"/>
    <s v="Fail"/>
    <n v="3.98177186850651E-3"/>
    <x v="0"/>
    <s v="Route C"/>
    <n v="802.05631181755859"/>
    <n v="0"/>
    <n v="17"/>
    <n v="2"/>
  </r>
  <r>
    <x v="2"/>
    <s v="SKU8"/>
    <n v="68.717596748527328"/>
    <n v="0.78"/>
    <n v="150"/>
    <n v="7517.363210631127"/>
    <x v="8"/>
    <n v="-2790.276301647973"/>
    <s v="Female"/>
    <n v="5"/>
    <n v="10"/>
    <n v="21"/>
    <n v="15"/>
    <n v="7"/>
    <x v="2"/>
    <n v="3.4047338570830266"/>
    <x v="3"/>
    <s v="Mumbai"/>
    <n v="13"/>
    <n v="769"/>
    <n v="8"/>
    <n v="11.423027139565695"/>
    <s v="Pending"/>
    <n v="2.7098626911099599E-2"/>
    <x v="3"/>
    <s v="Route B"/>
    <n v="505.55713422546415"/>
    <n v="0"/>
    <n v="10"/>
    <n v="21"/>
  </r>
  <r>
    <x v="1"/>
    <s v="SKU9"/>
    <n v="64.015732941278543"/>
    <n v="0.35"/>
    <n v="980"/>
    <n v="4971.145987585558"/>
    <x v="9"/>
    <n v="-57764.272294867413"/>
    <s v="Unknown"/>
    <n v="14"/>
    <n v="27"/>
    <n v="52"/>
    <n v="83"/>
    <n v="1"/>
    <x v="1"/>
    <n v="7.1666452910482157"/>
    <x v="4"/>
    <s v="Chennai"/>
    <n v="29"/>
    <n v="963"/>
    <n v="23"/>
    <n v="47.95760163495158"/>
    <s v="Pending"/>
    <n v="3.8446144787675801E-2"/>
    <x v="2"/>
    <s v="Route B"/>
    <n v="995.92946149864167"/>
    <n v="0"/>
    <n v="27"/>
    <n v="37"/>
  </r>
  <r>
    <x v="1"/>
    <s v="SKU10"/>
    <n v="15.707795681912138"/>
    <n v="0.11"/>
    <n v="996"/>
    <n v="2330.9658020919492"/>
    <x v="10"/>
    <n v="-13313.99869709254"/>
    <s v="Non-binary"/>
    <n v="51"/>
    <n v="13"/>
    <n v="23"/>
    <n v="80"/>
    <n v="2"/>
    <x v="2"/>
    <n v="8.6732112112786126"/>
    <x v="2"/>
    <s v="Kolkata"/>
    <n v="18"/>
    <n v="830"/>
    <n v="5"/>
    <n v="96.52735278531091"/>
    <s v="Pass"/>
    <n v="1.7273139283559402E-2"/>
    <x v="0"/>
    <s v="Route B"/>
    <n v="806.10317770292295"/>
    <n v="0"/>
    <n v="13"/>
    <n v="14"/>
  </r>
  <r>
    <x v="1"/>
    <s v="SKU11"/>
    <n v="90.635459982288666"/>
    <n v="0.95"/>
    <n v="960"/>
    <n v="6099.944115581452"/>
    <x v="11"/>
    <n v="-80910.097467415661"/>
    <s v="Female"/>
    <n v="46"/>
    <n v="23"/>
    <n v="39"/>
    <n v="60"/>
    <n v="1"/>
    <x v="1"/>
    <n v="4.5239431243166628"/>
    <x v="4"/>
    <s v="Kolkata"/>
    <n v="28"/>
    <n v="362"/>
    <n v="11"/>
    <n v="27.592363086663696"/>
    <s v="Pending"/>
    <n v="2.11698213729944E-4"/>
    <x v="1"/>
    <s v="Route A"/>
    <n v="126.72303340940725"/>
    <n v="0"/>
    <n v="23"/>
    <n v="0"/>
  </r>
  <r>
    <x v="0"/>
    <s v="SKU12"/>
    <n v="71.213389075360084"/>
    <n v="0.41"/>
    <n v="336"/>
    <n v="2873.7414460214413"/>
    <x v="12"/>
    <n v="-21053.957283299547"/>
    <s v="Unknown"/>
    <n v="100"/>
    <n v="30"/>
    <n v="6"/>
    <n v="85"/>
    <n v="4"/>
    <x v="1"/>
    <n v="1.325274010184522"/>
    <x v="3"/>
    <s v="Kolkata"/>
    <n v="3"/>
    <n v="563"/>
    <n v="3"/>
    <n v="32.321286213424031"/>
    <s v="Fail"/>
    <n v="2.16125374755591E-2"/>
    <x v="0"/>
    <s v="Route B"/>
    <n v="402.96878907377061"/>
    <n v="0"/>
    <n v="30"/>
    <n v="12"/>
  </r>
  <r>
    <x v="1"/>
    <s v="SKU13"/>
    <n v="16.160393317379977"/>
    <n v="0.05"/>
    <n v="249"/>
    <n v="4052.7384162378667"/>
    <x v="13"/>
    <n v="28.800480210252317"/>
    <s v="Male"/>
    <n v="80"/>
    <n v="8"/>
    <n v="33"/>
    <n v="48"/>
    <n v="9"/>
    <x v="1"/>
    <n v="9.5372830611083383"/>
    <x v="2"/>
    <s v="Bangalore"/>
    <n v="23"/>
    <n v="173"/>
    <n v="10"/>
    <n v="97.82905011017327"/>
    <s v="Pending"/>
    <n v="1.63107423007154E-2"/>
    <x v="0"/>
    <s v="Route B"/>
    <n v="547.24100516096848"/>
    <n v="1"/>
    <n v="19"/>
    <n v="3"/>
  </r>
  <r>
    <x v="1"/>
    <s v="SKU14"/>
    <n v="99.171328638624189"/>
    <n v="0.26"/>
    <n v="562"/>
    <n v="8653.5709264698016"/>
    <x v="14"/>
    <n v="-47080.715768436996"/>
    <s v="Non-binary"/>
    <n v="54"/>
    <n v="29"/>
    <n v="39"/>
    <n v="78"/>
    <n v="5"/>
    <x v="0"/>
    <n v="2.0397701894493316"/>
    <x v="1"/>
    <s v="Kolkata"/>
    <n v="25"/>
    <n v="558"/>
    <n v="14"/>
    <n v="5.7914366298629893"/>
    <s v="Pending"/>
    <n v="1.0068285156509399E-3"/>
    <x v="1"/>
    <s v="Route B"/>
    <n v="929.23528996088965"/>
    <n v="0"/>
    <n v="29"/>
    <n v="1"/>
  </r>
  <r>
    <x v="1"/>
    <s v="SKU15"/>
    <n v="36.98924492862691"/>
    <n v="0.94"/>
    <n v="469"/>
    <n v="5442.0867853976733"/>
    <x v="15"/>
    <n v="-11905.869086128347"/>
    <s v="Non-binary"/>
    <n v="9"/>
    <n v="8"/>
    <n v="21"/>
    <n v="69"/>
    <n v="7"/>
    <x v="0"/>
    <n v="2.4220397232752044"/>
    <x v="1"/>
    <s v="Bangalore"/>
    <n v="14"/>
    <n v="580"/>
    <n v="7"/>
    <n v="97.121281751474314"/>
    <s v="Pass"/>
    <n v="2.2644057611985499E-2"/>
    <x v="3"/>
    <s v="Route B"/>
    <n v="127.86180000162541"/>
    <n v="0"/>
    <n v="8"/>
    <n v="13"/>
  </r>
  <r>
    <x v="1"/>
    <s v="SKU16"/>
    <n v="7.5471721097912718"/>
    <n v="0.74"/>
    <n v="280"/>
    <n v="6453.7979681762854"/>
    <x v="16"/>
    <n v="4340.5897774347286"/>
    <s v="Female"/>
    <n v="2"/>
    <n v="5"/>
    <n v="24"/>
    <n v="78"/>
    <n v="1"/>
    <x v="0"/>
    <n v="4.1913245857055017"/>
    <x v="1"/>
    <s v="Bangalore"/>
    <n v="3"/>
    <n v="399"/>
    <n v="21"/>
    <n v="77.106342497850008"/>
    <s v="Pass"/>
    <n v="1.0125630892580499E-2"/>
    <x v="1"/>
    <s v="Route A"/>
    <n v="865.52577977124031"/>
    <n v="1"/>
    <n v="22"/>
    <n v="4"/>
  </r>
  <r>
    <x v="2"/>
    <s v="SKU17"/>
    <n v="81.462534369237019"/>
    <n v="0.82"/>
    <n v="126"/>
    <n v="2629.3964348452619"/>
    <x v="17"/>
    <n v="-7634.8828956786028"/>
    <s v="Female"/>
    <n v="45"/>
    <n v="17"/>
    <n v="23"/>
    <n v="85"/>
    <n v="9"/>
    <x v="2"/>
    <n v="3.5854189582323421"/>
    <x v="1"/>
    <s v="Chennai"/>
    <n v="7"/>
    <n v="453"/>
    <n v="16"/>
    <n v="47.679680368355335"/>
    <s v="Fail"/>
    <n v="1.0202075491817599E-3"/>
    <x v="1"/>
    <s v="Route C"/>
    <n v="670.93439079241034"/>
    <n v="0"/>
    <n v="17"/>
    <n v="0"/>
  </r>
  <r>
    <x v="0"/>
    <s v="SKU18"/>
    <n v="36.443627770460935"/>
    <n v="0.23"/>
    <n v="620"/>
    <n v="9364.6735050761727"/>
    <x v="18"/>
    <n v="-13230.375712609608"/>
    <s v="Unknown"/>
    <n v="10"/>
    <n v="10"/>
    <n v="35"/>
    <n v="46"/>
    <n v="8"/>
    <x v="2"/>
    <n v="4.339224714110709"/>
    <x v="4"/>
    <s v="Kolkata"/>
    <n v="18"/>
    <n v="374"/>
    <n v="17"/>
    <n v="27.10798085484392"/>
    <s v="Pending"/>
    <n v="2.2319391107292599E-2"/>
    <x v="3"/>
    <s v="Route A"/>
    <n v="593.48025872065182"/>
    <n v="1"/>
    <n v="25"/>
    <n v="8"/>
  </r>
  <r>
    <x v="1"/>
    <s v="SKU19"/>
    <n v="51.12387008796474"/>
    <n v="1"/>
    <n v="187"/>
    <n v="2553.4955849912149"/>
    <x v="19"/>
    <n v="-7006.6681214581913"/>
    <s v="Unknown"/>
    <n v="48"/>
    <n v="11"/>
    <n v="36"/>
    <n v="94"/>
    <n v="3"/>
    <x v="1"/>
    <n v="4.7426358828418769"/>
    <x v="3"/>
    <s v="Chennai"/>
    <n v="20"/>
    <n v="694"/>
    <n v="16"/>
    <n v="82.373320587990207"/>
    <s v="Fail"/>
    <n v="3.6464508654170301E-2"/>
    <x v="0"/>
    <s v="Route C"/>
    <n v="477.30763109090344"/>
    <n v="1"/>
    <n v="19"/>
    <n v="25"/>
  </r>
  <r>
    <x v="1"/>
    <s v="SKU20"/>
    <n v="96.341072439963384"/>
    <n v="0.22"/>
    <n v="320"/>
    <n v="8128.0276968511916"/>
    <x v="20"/>
    <n v="-22701.115483937094"/>
    <s v="Unknown"/>
    <n v="27"/>
    <n v="12"/>
    <n v="35"/>
    <n v="68"/>
    <n v="6"/>
    <x v="1"/>
    <n v="8.8783346509268402"/>
    <x v="1"/>
    <s v="Chennai"/>
    <n v="29"/>
    <n v="309"/>
    <n v="6"/>
    <n v="65.686259608488626"/>
    <s v="Pass"/>
    <n v="4.2314165735345403E-2"/>
    <x v="1"/>
    <s v="Route B"/>
    <n v="493.87121531620585"/>
    <n v="0"/>
    <n v="12"/>
    <n v="13"/>
  </r>
  <r>
    <x v="2"/>
    <s v="SKU21"/>
    <n v="84.893868984950828"/>
    <n v="0.6"/>
    <n v="601"/>
    <n v="7087.0526963574366"/>
    <x v="21"/>
    <n v="-43934.162563598009"/>
    <s v="Unknown"/>
    <n v="69"/>
    <n v="25"/>
    <n v="23"/>
    <n v="7"/>
    <n v="6"/>
    <x v="0"/>
    <n v="6.0378837692182978"/>
    <x v="2"/>
    <s v="Chennai"/>
    <n v="19"/>
    <n v="791"/>
    <n v="4"/>
    <n v="61.735728954160933"/>
    <s v="Pending"/>
    <n v="1.8607567631014901E-4"/>
    <x v="1"/>
    <s v="Route C"/>
    <n v="523.36091472015801"/>
    <n v="0"/>
    <n v="25"/>
    <n v="0"/>
  </r>
  <r>
    <x v="0"/>
    <s v="SKU22"/>
    <n v="27.679780886501959"/>
    <n v="0.55000000000000004"/>
    <n v="884"/>
    <n v="2390.8078665561734"/>
    <x v="22"/>
    <n v="-22078.11843711156"/>
    <s v="Unknown"/>
    <n v="71"/>
    <n v="1"/>
    <n v="50"/>
    <n v="63"/>
    <n v="10"/>
    <x v="1"/>
    <n v="9.5676489209230393"/>
    <x v="3"/>
    <s v="Kolkata"/>
    <n v="22"/>
    <n v="780"/>
    <n v="28"/>
    <n v="50.120839612977349"/>
    <s v="Fail"/>
    <n v="2.5912754732111201E-2"/>
    <x v="2"/>
    <s v="Route C"/>
    <n v="205.57199582694707"/>
    <n v="1"/>
    <n v="38"/>
    <n v="20"/>
  </r>
  <r>
    <x v="2"/>
    <s v="SKU23"/>
    <n v="4.3243411858641636"/>
    <n v="0.3"/>
    <n v="391"/>
    <n v="8858.367571011484"/>
    <x v="23"/>
    <n v="7167.5501673385961"/>
    <s v="Unknown"/>
    <n v="84"/>
    <n v="5"/>
    <n v="40"/>
    <n v="29"/>
    <n v="7"/>
    <x v="1"/>
    <n v="2.924857601145554"/>
    <x v="2"/>
    <s v="Kolkata"/>
    <n v="11"/>
    <n v="568"/>
    <n v="29"/>
    <n v="98.609957242703871"/>
    <s v="Pending"/>
    <n v="1.34229156272273E-2"/>
    <x v="2"/>
    <s v="Route A"/>
    <n v="196.32944611241268"/>
    <n v="1"/>
    <n v="36"/>
    <n v="8"/>
  </r>
  <r>
    <x v="0"/>
    <s v="SKU24"/>
    <n v="4.1563083593111081"/>
    <n v="0.32"/>
    <n v="209"/>
    <n v="9049.0778609398967"/>
    <x v="24"/>
    <n v="8180.409413843875"/>
    <s v="Male"/>
    <n v="4"/>
    <n v="26"/>
    <n v="31"/>
    <n v="2"/>
    <n v="8"/>
    <x v="2"/>
    <n v="9.7412916892843686"/>
    <x v="4"/>
    <s v="Bangalore"/>
    <n v="28"/>
    <n v="447"/>
    <n v="3"/>
    <n v="40.382359702924816"/>
    <s v="Pending"/>
    <n v="3.69131029262873E-2"/>
    <x v="1"/>
    <s v="Route A"/>
    <n v="758.72477260293829"/>
    <n v="0"/>
    <n v="26"/>
    <n v="17"/>
  </r>
  <r>
    <x v="0"/>
    <s v="SKU25"/>
    <n v="39.629343985092625"/>
    <n v="0.73"/>
    <n v="142"/>
    <n v="2174.777054350654"/>
    <x v="25"/>
    <n v="-3452.5897915324986"/>
    <s v="Male"/>
    <n v="82"/>
    <n v="11"/>
    <n v="42"/>
    <n v="52"/>
    <n v="3"/>
    <x v="2"/>
    <n v="2.2310736812817278"/>
    <x v="3"/>
    <s v="Kolkata"/>
    <n v="19"/>
    <n v="934"/>
    <n v="23"/>
    <n v="78.280383118415386"/>
    <s v="Pending"/>
    <n v="3.7972312171141803E-2"/>
    <x v="0"/>
    <s v="Route B"/>
    <n v="458.53594573920907"/>
    <n v="1"/>
    <n v="26"/>
    <n v="35"/>
  </r>
  <r>
    <x v="0"/>
    <s v="SKU26"/>
    <n v="97.44694661789282"/>
    <n v="0.09"/>
    <n v="353"/>
    <n v="3716.4933258940368"/>
    <x v="26"/>
    <n v="-30682.278830222131"/>
    <s v="Male"/>
    <n v="59"/>
    <n v="16"/>
    <n v="30"/>
    <n v="48"/>
    <n v="4"/>
    <x v="0"/>
    <n v="6.5075486210785511"/>
    <x v="4"/>
    <s v="Bangalore"/>
    <n v="26"/>
    <n v="171"/>
    <n v="4"/>
    <n v="15.972229757181761"/>
    <s v="Pass"/>
    <n v="2.11931973672492E-2"/>
    <x v="2"/>
    <s v="Route A"/>
    <n v="617.8669164583772"/>
    <n v="0"/>
    <n v="16"/>
    <n v="4"/>
  </r>
  <r>
    <x v="2"/>
    <s v="SKU27"/>
    <n v="92.557360812402024"/>
    <n v="0.42"/>
    <n v="352"/>
    <n v="2686.4572235759833"/>
    <x v="27"/>
    <n v="-29893.733782389529"/>
    <s v="Unknown"/>
    <n v="47"/>
    <n v="9"/>
    <n v="29"/>
    <n v="62"/>
    <n v="8"/>
    <x v="2"/>
    <n v="7.406750952998074"/>
    <x v="2"/>
    <s v="Mumbai"/>
    <n v="25"/>
    <n v="291"/>
    <n v="4"/>
    <n v="10.528245070042162"/>
    <s v="Fail"/>
    <n v="2.8646678378833699E-2"/>
    <x v="3"/>
    <s v="Route B"/>
    <n v="762.45918215568372"/>
    <n v="0"/>
    <n v="9"/>
    <n v="8"/>
  </r>
  <r>
    <x v="2"/>
    <s v="SKU28"/>
    <n v="2.3972747055971411"/>
    <n v="0.12"/>
    <n v="394"/>
    <n v="6117.3246150839923"/>
    <x v="28"/>
    <n v="5172.7983810787191"/>
    <s v="Female"/>
    <n v="48"/>
    <n v="15"/>
    <n v="20"/>
    <n v="24"/>
    <n v="4"/>
    <x v="0"/>
    <n v="9.898140508069222"/>
    <x v="1"/>
    <s v="Mumbai"/>
    <n v="13"/>
    <n v="171"/>
    <n v="7"/>
    <n v="59.429381810691567"/>
    <s v="Fail"/>
    <n v="8.1575707929567205E-3"/>
    <x v="1"/>
    <s v="Route A"/>
    <n v="123.43702751182708"/>
    <n v="0"/>
    <n v="15"/>
    <n v="1"/>
  </r>
  <r>
    <x v="2"/>
    <s v="SKU29"/>
    <n v="63.447559185207332"/>
    <n v="0.03"/>
    <n v="253"/>
    <n v="8318.9031946171781"/>
    <x v="29"/>
    <n v="-7733.3292792402772"/>
    <s v="Female"/>
    <n v="45"/>
    <n v="5"/>
    <n v="23"/>
    <n v="67"/>
    <n v="7"/>
    <x v="0"/>
    <n v="8.1009731453970311"/>
    <x v="1"/>
    <s v="Kolkata"/>
    <n v="16"/>
    <n v="329"/>
    <n v="7"/>
    <n v="39.292875586065747"/>
    <s v="Pass"/>
    <n v="3.8780989365884901E-2"/>
    <x v="0"/>
    <s v="Route B"/>
    <n v="764.93537594070813"/>
    <n v="1"/>
    <n v="14"/>
    <n v="13"/>
  </r>
  <r>
    <x v="0"/>
    <s v="SKU30"/>
    <n v="8.0228592105263932"/>
    <n v="0.1"/>
    <n v="327"/>
    <n v="2766.3423668660889"/>
    <x v="30"/>
    <n v="142.86740502395833"/>
    <s v="Male"/>
    <n v="60"/>
    <n v="26"/>
    <n v="57"/>
    <n v="35"/>
    <n v="7"/>
    <x v="0"/>
    <n v="8.9545283153180151"/>
    <x v="3"/>
    <s v="Kolkata"/>
    <n v="27"/>
    <n v="806"/>
    <n v="30"/>
    <n v="51.634893400109334"/>
    <s v="Pending"/>
    <n v="9.6539470535239296E-3"/>
    <x v="0"/>
    <s v="Route C"/>
    <n v="880.08098824716103"/>
    <n v="1"/>
    <n v="37"/>
    <n v="8"/>
  </r>
  <r>
    <x v="1"/>
    <s v="SKU31"/>
    <n v="50.847393051718697"/>
    <n v="0.28000000000000003"/>
    <n v="168"/>
    <n v="9655.1351027193978"/>
    <x v="31"/>
    <n v="1112.7730700306565"/>
    <s v="Male"/>
    <n v="6"/>
    <n v="17"/>
    <n v="32"/>
    <n v="44"/>
    <n v="4"/>
    <x v="0"/>
    <n v="2.6796609649814065"/>
    <x v="0"/>
    <s v="Chennai"/>
    <n v="24"/>
    <n v="461"/>
    <n v="8"/>
    <n v="60.25114566159808"/>
    <s v="Pending"/>
    <n v="2.9890000066550799E-2"/>
    <x v="2"/>
    <s v="Route C"/>
    <n v="609.37920661842668"/>
    <n v="0"/>
    <n v="17"/>
    <n v="14"/>
  </r>
  <r>
    <x v="1"/>
    <s v="SKU32"/>
    <n v="79.209936015656723"/>
    <n v="0.43"/>
    <n v="781"/>
    <n v="9571.5504873278187"/>
    <x v="32"/>
    <n v="-52291.40954090008"/>
    <s v="Unknown"/>
    <n v="89"/>
    <n v="13"/>
    <n v="37"/>
    <n v="64"/>
    <n v="4"/>
    <x v="2"/>
    <n v="6.5991049012385838"/>
    <x v="0"/>
    <s v="Kolkata"/>
    <n v="30"/>
    <n v="737"/>
    <n v="7"/>
    <n v="29.692467153749774"/>
    <s v="Pass"/>
    <n v="1.94603611938611E-2"/>
    <x v="0"/>
    <s v="Route A"/>
    <n v="761.17390951487755"/>
    <n v="0"/>
    <n v="13"/>
    <n v="14"/>
  </r>
  <r>
    <x v="2"/>
    <s v="SKU33"/>
    <n v="64.795435000155607"/>
    <n v="0.63"/>
    <n v="616"/>
    <n v="5149.9983504080365"/>
    <x v="33"/>
    <n v="-34763.989609687815"/>
    <s v="Non-binary"/>
    <n v="4"/>
    <n v="17"/>
    <n v="24"/>
    <n v="95"/>
    <n v="9"/>
    <x v="2"/>
    <n v="4.85827050343664"/>
    <x v="2"/>
    <s v="Chennai"/>
    <n v="1"/>
    <n v="251"/>
    <n v="23"/>
    <n v="23.853427512896133"/>
    <s v="Fail"/>
    <n v="3.5410460122509202E-2"/>
    <x v="3"/>
    <s v="Route A"/>
    <n v="371.25529551987103"/>
    <n v="1"/>
    <n v="32"/>
    <n v="9"/>
  </r>
  <r>
    <x v="1"/>
    <s v="SKU34"/>
    <n v="37.467592329842461"/>
    <n v="0.96"/>
    <n v="602"/>
    <n v="9061.7108955077238"/>
    <x v="34"/>
    <n v="-13493.779687057438"/>
    <s v="Unknown"/>
    <n v="1"/>
    <n v="26"/>
    <n v="14"/>
    <n v="21"/>
    <n v="7"/>
    <x v="1"/>
    <n v="1.0194875708221189"/>
    <x v="1"/>
    <s v="Chennai"/>
    <n v="4"/>
    <n v="452"/>
    <n v="10"/>
    <n v="10.754272815029333"/>
    <s v="Pass"/>
    <n v="6.4660455937205503E-3"/>
    <x v="0"/>
    <s v="Route B"/>
    <n v="510.3580004335235"/>
    <n v="0"/>
    <n v="26"/>
    <n v="3"/>
  </r>
  <r>
    <x v="2"/>
    <s v="SKU35"/>
    <n v="84.957786816350435"/>
    <n v="0.11"/>
    <n v="449"/>
    <n v="6541.3293448024651"/>
    <x v="35"/>
    <n v="-31604.716935738885"/>
    <s v="Female"/>
    <n v="42"/>
    <n v="27"/>
    <n v="5"/>
    <n v="85"/>
    <n v="8"/>
    <x v="2"/>
    <n v="5.2881899903274094"/>
    <x v="1"/>
    <s v="Delhi"/>
    <n v="3"/>
    <n v="367"/>
    <n v="2"/>
    <n v="58.004787044743765"/>
    <s v="Pass"/>
    <n v="5.4115409806058104E-3"/>
    <x v="3"/>
    <s v="Route C"/>
    <n v="553.42047123035582"/>
    <n v="0"/>
    <n v="27"/>
    <n v="2"/>
  </r>
  <r>
    <x v="1"/>
    <s v="SKU36"/>
    <n v="9.8130025787540518"/>
    <n v="0.34"/>
    <n v="963"/>
    <n v="7573.4024578487333"/>
    <x v="36"/>
    <n v="-1876.5190254914178"/>
    <s v="Female"/>
    <n v="18"/>
    <n v="23"/>
    <n v="45"/>
    <n v="28"/>
    <n v="3"/>
    <x v="0"/>
    <n v="2.107951267159081"/>
    <x v="4"/>
    <s v="Delhi"/>
    <n v="26"/>
    <n v="671"/>
    <n v="19"/>
    <n v="45.531364237162144"/>
    <s v="Fail"/>
    <n v="3.8055333792433498E-2"/>
    <x v="1"/>
    <s v="Route C"/>
    <n v="403.8089742481805"/>
    <n v="0"/>
    <n v="23"/>
    <n v="26"/>
  </r>
  <r>
    <x v="1"/>
    <s v="SKU37"/>
    <n v="23.399844752614349"/>
    <n v="0.05"/>
    <n v="963"/>
    <n v="2438.3399304700288"/>
    <x v="37"/>
    <n v="-20095.710566297588"/>
    <s v="Female"/>
    <n v="25"/>
    <n v="8"/>
    <n v="39"/>
    <n v="21"/>
    <n v="9"/>
    <x v="1"/>
    <n v="1.5326552735904306"/>
    <x v="0"/>
    <s v="Kolkata"/>
    <n v="24"/>
    <n v="867"/>
    <n v="15"/>
    <n v="34.343277465075381"/>
    <s v="Pending"/>
    <n v="2.61028808484811E-2"/>
    <x v="3"/>
    <s v="Route A"/>
    <n v="183.93296804359437"/>
    <n v="1"/>
    <n v="24"/>
    <n v="23"/>
  </r>
  <r>
    <x v="2"/>
    <s v="SKU38"/>
    <n v="52.075930682707799"/>
    <n v="0.75"/>
    <n v="705"/>
    <n v="9692.3180402184316"/>
    <x v="38"/>
    <n v="-27021.213091090569"/>
    <s v="Non-binary"/>
    <n v="69"/>
    <n v="1"/>
    <n v="22"/>
    <n v="88"/>
    <n v="5"/>
    <x v="0"/>
    <n v="9.2359314372492278"/>
    <x v="2"/>
    <s v="Mumbai"/>
    <n v="10"/>
    <n v="841"/>
    <n v="12"/>
    <n v="5.9306936455283177"/>
    <s v="Pending"/>
    <n v="6.1332689916450698E-3"/>
    <x v="1"/>
    <s v="Route B"/>
    <n v="339.67286994860615"/>
    <n v="1"/>
    <n v="17"/>
    <n v="5"/>
  </r>
  <r>
    <x v="1"/>
    <s v="SKU39"/>
    <n v="19.127477265823256"/>
    <n v="0.26"/>
    <n v="176"/>
    <n v="1912.4656631007608"/>
    <x v="39"/>
    <n v="-1453.9703356841321"/>
    <s v="Female"/>
    <n v="78"/>
    <n v="29"/>
    <n v="36"/>
    <n v="34"/>
    <n v="3"/>
    <x v="1"/>
    <n v="5.5625037788303837"/>
    <x v="4"/>
    <s v="Kolkata"/>
    <n v="30"/>
    <n v="791"/>
    <n v="6"/>
    <n v="9.0058074287816421"/>
    <s v="Fail"/>
    <n v="1.4519722039968199E-2"/>
    <x v="1"/>
    <s v="Route B"/>
    <n v="653.67299455203317"/>
    <n v="0"/>
    <n v="29"/>
    <n v="11"/>
  </r>
  <r>
    <x v="1"/>
    <s v="SKU40"/>
    <n v="80.541424170940331"/>
    <n v="0.97"/>
    <n v="933"/>
    <n v="5724.9593504562654"/>
    <x v="40"/>
    <n v="-69420.189401031064"/>
    <s v="Female"/>
    <n v="90"/>
    <n v="20"/>
    <n v="19"/>
    <n v="39"/>
    <n v="8"/>
    <x v="2"/>
    <n v="7.2295951397364737"/>
    <x v="1"/>
    <s v="Kolkata"/>
    <n v="18"/>
    <n v="793"/>
    <n v="1"/>
    <n v="88.179407104217461"/>
    <s v="Pending"/>
    <n v="4.2132694305865699E-2"/>
    <x v="0"/>
    <s v="Route A"/>
    <n v="529.80872398069187"/>
    <n v="0"/>
    <n v="20"/>
    <n v="33"/>
  </r>
  <r>
    <x v="1"/>
    <s v="SKU41"/>
    <n v="99.113291615317166"/>
    <n v="0.35"/>
    <n v="556"/>
    <n v="5521.2052590109715"/>
    <x v="41"/>
    <n v="-49585.784879105369"/>
    <s v="Female"/>
    <n v="64"/>
    <n v="19"/>
    <n v="25"/>
    <n v="38"/>
    <n v="8"/>
    <x v="0"/>
    <n v="5.7732637437666536"/>
    <x v="3"/>
    <s v="Chennai"/>
    <n v="18"/>
    <n v="892"/>
    <n v="7"/>
    <n v="95.332064548772493"/>
    <s v="Fail"/>
    <n v="4.5302262398259598E-4"/>
    <x v="3"/>
    <s v="Route A"/>
    <n v="275.52437113130981"/>
    <n v="0"/>
    <n v="19"/>
    <n v="0"/>
  </r>
  <r>
    <x v="1"/>
    <s v="SKU42"/>
    <n v="46.529167614516773"/>
    <n v="0.98"/>
    <n v="155"/>
    <n v="1839.6094258567639"/>
    <x v="42"/>
    <n v="-5372.4115543933358"/>
    <s v="Female"/>
    <n v="22"/>
    <n v="27"/>
    <n v="33"/>
    <n v="57"/>
    <n v="4"/>
    <x v="2"/>
    <n v="7.5262483268515084"/>
    <x v="2"/>
    <s v="Bangalore"/>
    <n v="26"/>
    <n v="179"/>
    <n v="7"/>
    <n v="96.422820639571867"/>
    <s v="Fail"/>
    <n v="4.9392552886209501E-2"/>
    <x v="0"/>
    <s v="Route A"/>
    <n v="635.65712050199193"/>
    <n v="0"/>
    <n v="27"/>
    <n v="9"/>
  </r>
  <r>
    <x v="0"/>
    <s v="SKU43"/>
    <n v="11.743271776309239"/>
    <n v="0.06"/>
    <n v="598"/>
    <n v="5737.425599119023"/>
    <x v="43"/>
    <n v="-1285.0509231139022"/>
    <s v="Unknown"/>
    <n v="36"/>
    <n v="29"/>
    <n v="24"/>
    <n v="85"/>
    <n v="9"/>
    <x v="0"/>
    <n v="3.6940212683884543"/>
    <x v="2"/>
    <s v="Mumbai"/>
    <n v="1"/>
    <n v="206"/>
    <n v="23"/>
    <n v="26.27736595733241"/>
    <s v="Pending"/>
    <n v="3.7230476798509799E-3"/>
    <x v="1"/>
    <s v="Route A"/>
    <n v="716.04411975934067"/>
    <n v="0"/>
    <n v="29"/>
    <n v="1"/>
  </r>
  <r>
    <x v="2"/>
    <s v="SKU44"/>
    <n v="51.35579091311039"/>
    <n v="0.34"/>
    <n v="919"/>
    <n v="7152.2860494355145"/>
    <x v="44"/>
    <n v="-40043.685799712934"/>
    <s v="Female"/>
    <n v="13"/>
    <n v="19"/>
    <n v="25"/>
    <n v="72"/>
    <n v="6"/>
    <x v="2"/>
    <n v="7.5774496573766932"/>
    <x v="4"/>
    <s v="Delhi"/>
    <n v="7"/>
    <n v="834"/>
    <n v="18"/>
    <n v="22.554106620887744"/>
    <s v="Fail"/>
    <n v="2.9626263204548801E-2"/>
    <x v="2"/>
    <s v="Route A"/>
    <n v="610.45326961922774"/>
    <n v="0"/>
    <n v="19"/>
    <n v="25"/>
  </r>
  <r>
    <x v="0"/>
    <s v="SKU45"/>
    <n v="33.78413803306551"/>
    <n v="0.01"/>
    <n v="24"/>
    <n v="5267.9568075105208"/>
    <x v="45"/>
    <n v="4457.1374947169488"/>
    <s v="Male"/>
    <n v="93"/>
    <n v="7"/>
    <n v="50"/>
    <n v="52"/>
    <n v="6"/>
    <x v="0"/>
    <n v="5.2151550087119096"/>
    <x v="4"/>
    <s v="Chennai"/>
    <n v="25"/>
    <n v="794"/>
    <n v="25"/>
    <n v="66.312544439991655"/>
    <s v="Pass"/>
    <n v="3.21960461208411E-2"/>
    <x v="2"/>
    <s v="Route A"/>
    <n v="495.30569702847396"/>
    <n v="1"/>
    <n v="31"/>
    <n v="26"/>
  </r>
  <r>
    <x v="0"/>
    <s v="SKU46"/>
    <n v="27.082207199888899"/>
    <n v="0.75"/>
    <n v="859"/>
    <n v="2556.7673606335957"/>
    <x v="46"/>
    <n v="-20706.848624070968"/>
    <s v="Non-binary"/>
    <n v="92"/>
    <n v="29"/>
    <n v="41"/>
    <n v="6"/>
    <n v="8"/>
    <x v="0"/>
    <n v="4.0709558370840826"/>
    <x v="0"/>
    <s v="Chennai"/>
    <n v="18"/>
    <n v="870"/>
    <n v="23"/>
    <n v="77.32235321105162"/>
    <s v="Pending"/>
    <n v="3.6486105925362E-2"/>
    <x v="0"/>
    <s v="Route B"/>
    <n v="380.43593711196428"/>
    <n v="0"/>
    <n v="29"/>
    <n v="32"/>
  </r>
  <r>
    <x v="1"/>
    <s v="SKU47"/>
    <n v="95.712135880936088"/>
    <n v="0.93"/>
    <n v="910"/>
    <n v="7089.4742499341864"/>
    <x v="47"/>
    <n v="-80008.569401717657"/>
    <s v="Male"/>
    <n v="4"/>
    <n v="15"/>
    <n v="30"/>
    <n v="51"/>
    <n v="9"/>
    <x v="0"/>
    <n v="8.9787507559499709"/>
    <x v="1"/>
    <s v="Kolkata"/>
    <n v="10"/>
    <n v="964"/>
    <n v="20"/>
    <n v="19.712992911293647"/>
    <s v="Pending"/>
    <n v="3.8057358671321402E-3"/>
    <x v="2"/>
    <s v="Route A"/>
    <n v="581.60235505058677"/>
    <n v="1"/>
    <n v="29"/>
    <n v="4"/>
  </r>
  <r>
    <x v="0"/>
    <s v="SKU48"/>
    <n v="76.035544426891718"/>
    <n v="0.28000000000000003"/>
    <n v="29"/>
    <n v="7397.0710045871801"/>
    <x v="48"/>
    <n v="5192.0402162073206"/>
    <s v="Non-binary"/>
    <n v="30"/>
    <n v="16"/>
    <n v="27"/>
    <n v="9"/>
    <n v="3"/>
    <x v="2"/>
    <n v="7.0958331565551385"/>
    <x v="4"/>
    <s v="Mumbai"/>
    <n v="9"/>
    <n v="109"/>
    <n v="18"/>
    <n v="23.126363582464776"/>
    <s v="Fail"/>
    <n v="1.6981125407143999E-2"/>
    <x v="2"/>
    <s v="Route B"/>
    <n v="768.65191395437"/>
    <n v="1"/>
    <n v="21"/>
    <n v="2"/>
  </r>
  <r>
    <x v="2"/>
    <s v="SKU49"/>
    <n v="78.897913205640037"/>
    <n v="0.19"/>
    <n v="99"/>
    <n v="8001.6132065190022"/>
    <x v="49"/>
    <n v="190.7197991606381"/>
    <s v="Unknown"/>
    <n v="97"/>
    <n v="24"/>
    <n v="56"/>
    <n v="9"/>
    <n v="6"/>
    <x v="2"/>
    <n v="2.5056210329009154"/>
    <x v="2"/>
    <s v="Delhi"/>
    <n v="28"/>
    <n v="177"/>
    <n v="28"/>
    <n v="14.147815443979217"/>
    <s v="Pass"/>
    <n v="2.8258139854001298E-2"/>
    <x v="2"/>
    <s v="Route A"/>
    <n v="336.89016851997792"/>
    <n v="1"/>
    <n v="34"/>
    <n v="5"/>
  </r>
  <r>
    <x v="2"/>
    <s v="SKU50"/>
    <n v="14.203484264803022"/>
    <n v="0.91"/>
    <n v="633"/>
    <n v="5910.8853896688988"/>
    <x v="50"/>
    <n v="-3079.9201499514138"/>
    <s v="Female"/>
    <n v="31"/>
    <n v="23"/>
    <n v="41"/>
    <n v="82"/>
    <n v="10"/>
    <x v="1"/>
    <n v="6.2478609149759912"/>
    <x v="4"/>
    <s v="Delhi"/>
    <n v="20"/>
    <n v="306"/>
    <n v="21"/>
    <n v="45.178757924634517"/>
    <s v="Fail"/>
    <n v="4.7548008046711797E-2"/>
    <x v="2"/>
    <s v="Route B"/>
    <n v="496.24865029194046"/>
    <n v="0"/>
    <n v="23"/>
    <n v="15"/>
  </r>
  <r>
    <x v="0"/>
    <s v="SKU51"/>
    <n v="26.70076097246173"/>
    <n v="0.61"/>
    <n v="154"/>
    <n v="9866.465457979697"/>
    <x v="51"/>
    <n v="5754.5482682205902"/>
    <s v="Male"/>
    <n v="100"/>
    <n v="4"/>
    <n v="46"/>
    <n v="52"/>
    <n v="1"/>
    <x v="1"/>
    <n v="4.7830005579476653"/>
    <x v="2"/>
    <s v="Bangalore"/>
    <n v="18"/>
    <n v="673"/>
    <n v="28"/>
    <n v="14.190328344569981"/>
    <s v="Pending"/>
    <n v="1.7729511720835599E-2"/>
    <x v="0"/>
    <s v="Route A"/>
    <n v="694.98231757944586"/>
    <n v="1"/>
    <n v="29"/>
    <n v="12"/>
  </r>
  <r>
    <x v="1"/>
    <s v="SKU52"/>
    <n v="98.031829656465078"/>
    <n v="0.01"/>
    <n v="820"/>
    <n v="9435.7626089121295"/>
    <x v="52"/>
    <n v="-70950.337709389234"/>
    <s v="Male"/>
    <n v="64"/>
    <n v="11"/>
    <n v="37"/>
    <n v="11"/>
    <n v="1"/>
    <x v="0"/>
    <n v="8.6310521797689468"/>
    <x v="1"/>
    <s v="Mumbai"/>
    <n v="10"/>
    <n v="727"/>
    <n v="27"/>
    <n v="9.1668491485971515"/>
    <s v="Pending"/>
    <n v="2.12247161914382E-2"/>
    <x v="1"/>
    <s v="Route C"/>
    <n v="602.89849883838338"/>
    <n v="1"/>
    <n v="28"/>
    <n v="15"/>
  </r>
  <r>
    <x v="1"/>
    <s v="SKU53"/>
    <n v="30.341470711214214"/>
    <n v="0.93"/>
    <n v="242"/>
    <n v="8232.3348294258212"/>
    <x v="53"/>
    <n v="889.69891731198186"/>
    <s v="Male"/>
    <n v="96"/>
    <n v="25"/>
    <n v="18"/>
    <n v="54"/>
    <n v="3"/>
    <x v="0"/>
    <n v="1.0134865660958963"/>
    <x v="1"/>
    <s v="Delhi"/>
    <n v="1"/>
    <n v="631"/>
    <n v="17"/>
    <n v="83.344058991677969"/>
    <s v="Pending"/>
    <n v="1.4103475760760299E-2"/>
    <x v="1"/>
    <s v="Route B"/>
    <n v="750.73784066827091"/>
    <n v="0"/>
    <n v="25"/>
    <n v="9"/>
  </r>
  <r>
    <x v="0"/>
    <s v="SKU54"/>
    <n v="31.146243160240854"/>
    <n v="0.11"/>
    <n v="622"/>
    <n v="6088.0214799408586"/>
    <x v="54"/>
    <n v="-13284.941765728954"/>
    <s v="Non-binary"/>
    <n v="33"/>
    <n v="22"/>
    <n v="55"/>
    <n v="61"/>
    <n v="3"/>
    <x v="0"/>
    <n v="4.3051034712876355"/>
    <x v="1"/>
    <s v="Kolkata"/>
    <n v="26"/>
    <n v="497"/>
    <n v="29"/>
    <n v="30.186023375822508"/>
    <s v="Pass"/>
    <n v="2.4787719755397501E-2"/>
    <x v="0"/>
    <s v="Route B"/>
    <n v="814.06999658218751"/>
    <n v="1"/>
    <n v="32"/>
    <n v="12"/>
  </r>
  <r>
    <x v="0"/>
    <s v="SKU55"/>
    <n v="79.855058340789427"/>
    <n v="0.16"/>
    <n v="701"/>
    <n v="2925.6751703038126"/>
    <x v="55"/>
    <n v="-53052.720726589578"/>
    <s v="Male"/>
    <n v="97"/>
    <n v="11"/>
    <n v="32"/>
    <n v="11"/>
    <n v="5"/>
    <x v="1"/>
    <n v="5.0143649550309073"/>
    <x v="4"/>
    <s v="Delhi"/>
    <n v="27"/>
    <n v="918"/>
    <n v="5"/>
    <n v="30.323545256616502"/>
    <s v="Fail"/>
    <n v="4.5489196593963797E-2"/>
    <x v="3"/>
    <s v="Route B"/>
    <n v="323.01292795247883"/>
    <n v="0"/>
    <n v="11"/>
    <n v="42"/>
  </r>
  <r>
    <x v="1"/>
    <s v="SKU56"/>
    <n v="20.986386037043378"/>
    <n v="0.9"/>
    <n v="93"/>
    <n v="4767.020484344137"/>
    <x v="56"/>
    <n v="2815.2865828991025"/>
    <s v="Non-binary"/>
    <n v="25"/>
    <n v="23"/>
    <n v="52"/>
    <n v="83"/>
    <n v="5"/>
    <x v="2"/>
    <n v="1.7744297140717396"/>
    <x v="1"/>
    <s v="Mumbai"/>
    <n v="24"/>
    <n v="826"/>
    <n v="28"/>
    <n v="12.836284572832753"/>
    <s v="Pass"/>
    <n v="1.1737554953874499E-2"/>
    <x v="1"/>
    <s v="Route B"/>
    <n v="832.21080870602168"/>
    <n v="1"/>
    <n v="33"/>
    <n v="10"/>
  </r>
  <r>
    <x v="0"/>
    <s v="SKU57"/>
    <n v="49.263205350734154"/>
    <n v="0.65"/>
    <n v="227"/>
    <n v="1605.8669003924058"/>
    <x v="57"/>
    <n v="-9576.8807142242476"/>
    <s v="Unknown"/>
    <n v="5"/>
    <n v="18"/>
    <n v="46"/>
    <n v="51"/>
    <n v="1"/>
    <x v="0"/>
    <n v="9.1605585353818704"/>
    <x v="4"/>
    <s v="Delhi"/>
    <n v="21"/>
    <n v="588"/>
    <n v="25"/>
    <n v="67.779622987078142"/>
    <s v="Pending"/>
    <n v="2.5111748302127101E-2"/>
    <x v="2"/>
    <s v="Route A"/>
    <n v="482.19123860252813"/>
    <n v="1"/>
    <n v="26"/>
    <n v="15"/>
  </r>
  <r>
    <x v="1"/>
    <s v="SKU58"/>
    <n v="59.84156137728931"/>
    <n v="0.81"/>
    <n v="896"/>
    <n v="2021.1498103371077"/>
    <x v="58"/>
    <n v="-51596.88918371412"/>
    <s v="Non-binary"/>
    <n v="10"/>
    <n v="5"/>
    <n v="25"/>
    <n v="44"/>
    <n v="7"/>
    <x v="1"/>
    <n v="4.9384385647120901"/>
    <x v="0"/>
    <s v="Delhi"/>
    <n v="18"/>
    <n v="396"/>
    <n v="7"/>
    <n v="65.047415094691459"/>
    <s v="Fail"/>
    <n v="1.7303747198591998E-2"/>
    <x v="0"/>
    <s v="Route B"/>
    <n v="110.36433523136472"/>
    <n v="1"/>
    <n v="14"/>
    <n v="7"/>
  </r>
  <r>
    <x v="2"/>
    <s v="SKU59"/>
    <n v="63.828398347710966"/>
    <n v="0.3"/>
    <n v="484"/>
    <n v="1061.618523013288"/>
    <x v="59"/>
    <n v="-29831.326277278822"/>
    <s v="Non-binary"/>
    <n v="100"/>
    <n v="16"/>
    <n v="15"/>
    <n v="26"/>
    <n v="7"/>
    <x v="0"/>
    <n v="7.2937225968677284"/>
    <x v="1"/>
    <s v="Kolkata"/>
    <n v="11"/>
    <n v="176"/>
    <n v="4"/>
    <n v="1.900762243519458"/>
    <s v="Fail"/>
    <n v="4.4719401546382299E-3"/>
    <x v="1"/>
    <s v="Route A"/>
    <n v="312.57427361009331"/>
    <n v="0"/>
    <n v="16"/>
    <n v="1"/>
  </r>
  <r>
    <x v="1"/>
    <s v="SKU60"/>
    <n v="17.028027920188702"/>
    <n v="0.16"/>
    <n v="380"/>
    <n v="8864.0843495864356"/>
    <x v="60"/>
    <n v="2393.4337399147289"/>
    <s v="Female"/>
    <n v="41"/>
    <n v="27"/>
    <n v="53"/>
    <n v="72"/>
    <n v="8"/>
    <x v="2"/>
    <n v="4.3813681581023145"/>
    <x v="3"/>
    <s v="Mumbai"/>
    <n v="29"/>
    <n v="929"/>
    <n v="24"/>
    <n v="87.213057815135684"/>
    <s v="Fail"/>
    <n v="2.85309061664905E-2"/>
    <x v="2"/>
    <s v="Route A"/>
    <n v="430.16909697513654"/>
    <n v="0"/>
    <n v="27"/>
    <n v="27"/>
  </r>
  <r>
    <x v="0"/>
    <s v="SKU61"/>
    <n v="52.028749903294923"/>
    <n v="0.23"/>
    <n v="117"/>
    <n v="6885.5893508962527"/>
    <x v="61"/>
    <n v="798.22561221074648"/>
    <s v="Unknown"/>
    <n v="32"/>
    <n v="23"/>
    <n v="26"/>
    <n v="36"/>
    <n v="7"/>
    <x v="2"/>
    <n v="9.0303404225219488"/>
    <x v="3"/>
    <s v="Kolkata"/>
    <n v="14"/>
    <n v="480"/>
    <n v="12"/>
    <n v="78.702393968878894"/>
    <s v="Fail"/>
    <n v="4.3674705382050497E-2"/>
    <x v="1"/>
    <s v="Route A"/>
    <n v="164.36652824341942"/>
    <n v="0"/>
    <n v="23"/>
    <n v="21"/>
  </r>
  <r>
    <x v="2"/>
    <s v="SKU62"/>
    <n v="72.796353955587364"/>
    <n v="0.89"/>
    <n v="270"/>
    <n v="3899.7468337292244"/>
    <x v="62"/>
    <n v="-15755.268734279363"/>
    <s v="Unknown"/>
    <n v="86"/>
    <n v="2"/>
    <n v="27"/>
    <n v="40"/>
    <n v="7"/>
    <x v="2"/>
    <n v="7.2917013887767759"/>
    <x v="4"/>
    <s v="Mumbai"/>
    <n v="13"/>
    <n v="751"/>
    <n v="14"/>
    <n v="21.048642725168644"/>
    <s v="Pass"/>
    <n v="1.87400140404437E-2"/>
    <x v="3"/>
    <s v="Route C"/>
    <n v="320.84651575911158"/>
    <n v="1"/>
    <n v="21"/>
    <n v="14"/>
  </r>
  <r>
    <x v="1"/>
    <s v="SKU63"/>
    <n v="13.017376785287857"/>
    <n v="0.55000000000000004"/>
    <n v="246"/>
    <n v="4256.9491408502254"/>
    <x v="63"/>
    <n v="1054.6744516694125"/>
    <s v="Non-binary"/>
    <n v="54"/>
    <n v="19"/>
    <n v="28"/>
    <n v="10"/>
    <n v="4"/>
    <x v="1"/>
    <n v="2.45793352798733"/>
    <x v="0"/>
    <s v="Bangalore"/>
    <n v="18"/>
    <n v="736"/>
    <n v="10"/>
    <n v="20.075003975630484"/>
    <s v="Pending"/>
    <n v="3.6328432903821303E-2"/>
    <x v="3"/>
    <s v="Route A"/>
    <n v="687.28617786641735"/>
    <n v="0"/>
    <n v="19"/>
    <n v="27"/>
  </r>
  <r>
    <x v="1"/>
    <s v="SKU64"/>
    <n v="89.634095608135326"/>
    <n v="0.11"/>
    <n v="134"/>
    <n v="8458.7308783671779"/>
    <x v="64"/>
    <n v="-3552.2379331229549"/>
    <s v="Female"/>
    <n v="73"/>
    <n v="27"/>
    <n v="23"/>
    <n v="75"/>
    <n v="6"/>
    <x v="2"/>
    <n v="4.5853534681946524"/>
    <x v="1"/>
    <s v="Delhi"/>
    <n v="17"/>
    <n v="328"/>
    <n v="6"/>
    <n v="8.6930424258772874"/>
    <s v="Fail"/>
    <n v="1.5948631471751501E-3"/>
    <x v="1"/>
    <s v="Route C"/>
    <n v="771.22508468115745"/>
    <n v="0"/>
    <n v="27"/>
    <n v="1"/>
  </r>
  <r>
    <x v="1"/>
    <s v="SKU65"/>
    <n v="33.697717206643127"/>
    <n v="0.72"/>
    <n v="457"/>
    <n v="8354.5796864819949"/>
    <x v="65"/>
    <n v="-7045.2770769539147"/>
    <s v="Male"/>
    <n v="57"/>
    <n v="24"/>
    <n v="37"/>
    <n v="54"/>
    <n v="8"/>
    <x v="2"/>
    <n v="6.5805413478845951"/>
    <x v="2"/>
    <s v="Kolkata"/>
    <n v="16"/>
    <n v="358"/>
    <n v="21"/>
    <n v="1.5972227430506774"/>
    <s v="Fail"/>
    <n v="4.9110959548423302E-2"/>
    <x v="2"/>
    <s v="Route C"/>
    <n v="555.85910367174347"/>
    <n v="0"/>
    <n v="24"/>
    <n v="18"/>
  </r>
  <r>
    <x v="1"/>
    <s v="SKU66"/>
    <n v="26.034869773962086"/>
    <n v="0.52"/>
    <n v="704"/>
    <n v="8367.721618020154"/>
    <x v="66"/>
    <n v="-9960.8267028491537"/>
    <s v="Female"/>
    <n v="13"/>
    <n v="17"/>
    <n v="52"/>
    <n v="19"/>
    <n v="8"/>
    <x v="1"/>
    <n v="2.2161427287713633"/>
    <x v="2"/>
    <s v="Kolkata"/>
    <n v="24"/>
    <n v="867"/>
    <n v="28"/>
    <n v="42.084436738309961"/>
    <s v="Fail"/>
    <n v="3.4480632883402598E-2"/>
    <x v="0"/>
    <s v="Route A"/>
    <n v="393.84334857842788"/>
    <n v="1"/>
    <n v="36"/>
    <n v="30"/>
  </r>
  <r>
    <x v="1"/>
    <s v="SKU67"/>
    <n v="87.755432354001073"/>
    <n v="0.16"/>
    <n v="513"/>
    <n v="9473.7980325083372"/>
    <x v="67"/>
    <n v="-35544.738765094211"/>
    <s v="Unknown"/>
    <n v="12"/>
    <n v="9"/>
    <n v="21"/>
    <n v="71"/>
    <n v="9"/>
    <x v="2"/>
    <n v="9.147811544710633"/>
    <x v="1"/>
    <s v="Mumbai"/>
    <n v="10"/>
    <n v="198"/>
    <n v="11"/>
    <n v="7.0578761469782307"/>
    <s v="Pass"/>
    <n v="1.3195544431181499E-3"/>
    <x v="3"/>
    <s v="Route C"/>
    <n v="169.2718013847869"/>
    <n v="1"/>
    <n v="20"/>
    <n v="0"/>
  </r>
  <r>
    <x v="0"/>
    <s v="SKU68"/>
    <n v="37.931812382790319"/>
    <n v="0.28999999999999998"/>
    <n v="163"/>
    <n v="3550.2184327809919"/>
    <x v="68"/>
    <n v="-2632.6669856138305"/>
    <s v="Non-binary"/>
    <n v="0"/>
    <n v="8"/>
    <n v="20"/>
    <n v="58"/>
    <n v="8"/>
    <x v="0"/>
    <n v="1.1942518648849991"/>
    <x v="4"/>
    <s v="Bangalore"/>
    <n v="2"/>
    <n v="375"/>
    <n v="18"/>
    <n v="97.113581563462205"/>
    <s v="Fail"/>
    <n v="1.98346787217418E-2"/>
    <x v="2"/>
    <s v="Route A"/>
    <n v="299.70630311810316"/>
    <n v="1"/>
    <n v="26"/>
    <n v="7"/>
  </r>
  <r>
    <x v="1"/>
    <s v="SKU69"/>
    <n v="54.865528517069791"/>
    <n v="0.62"/>
    <n v="511"/>
    <n v="1752.3810874841247"/>
    <x v="69"/>
    <n v="-26283.903984738539"/>
    <s v="Non-binary"/>
    <n v="95"/>
    <n v="1"/>
    <n v="16"/>
    <n v="27"/>
    <n v="3"/>
    <x v="0"/>
    <n v="9.7052867901203488"/>
    <x v="3"/>
    <s v="Kolkata"/>
    <n v="9"/>
    <n v="862"/>
    <n v="7"/>
    <n v="77.627765812748166"/>
    <s v="Pending"/>
    <n v="1.3623879886491099E-2"/>
    <x v="1"/>
    <s v="Route A"/>
    <n v="207.66320620857562"/>
    <n v="1"/>
    <n v="10"/>
    <n v="12"/>
  </r>
  <r>
    <x v="0"/>
    <s v="SKU70"/>
    <n v="47.914541824058766"/>
    <n v="0.9"/>
    <n v="32"/>
    <n v="7014.8879872033885"/>
    <x v="70"/>
    <n v="5481.6226488335078"/>
    <s v="Female"/>
    <n v="10"/>
    <n v="12"/>
    <n v="38"/>
    <n v="22"/>
    <n v="4"/>
    <x v="0"/>
    <n v="6.3157177546007226"/>
    <x v="1"/>
    <s v="Bangalore"/>
    <n v="22"/>
    <n v="775"/>
    <n v="16"/>
    <n v="11.440781823761265"/>
    <s v="Pass"/>
    <n v="1.8305755986122298E-2"/>
    <x v="0"/>
    <s v="Route C"/>
    <n v="183.27289874871101"/>
    <n v="1"/>
    <n v="20"/>
    <n v="14"/>
  </r>
  <r>
    <x v="2"/>
    <s v="SKU71"/>
    <n v="6.3815331627479663"/>
    <n v="0.14000000000000001"/>
    <n v="637"/>
    <n v="8180.3370854254426"/>
    <x v="71"/>
    <n v="4115.3004607549883"/>
    <s v="Female"/>
    <n v="76"/>
    <n v="2"/>
    <n v="12"/>
    <n v="26"/>
    <n v="6"/>
    <x v="1"/>
    <n v="9.2281903170525172"/>
    <x v="4"/>
    <s v="Bangalore"/>
    <n v="2"/>
    <n v="258"/>
    <n v="10"/>
    <n v="30.661677477859556"/>
    <s v="Pending"/>
    <n v="2.0787506078749698E-2"/>
    <x v="0"/>
    <s v="Route A"/>
    <n v="405.16706788885585"/>
    <n v="1"/>
    <n v="16"/>
    <n v="5"/>
  </r>
  <r>
    <x v="2"/>
    <s v="SKU72"/>
    <n v="90.204427520528071"/>
    <n v="0.88"/>
    <n v="478"/>
    <n v="2633.1219813122557"/>
    <x v="72"/>
    <n v="-40484.594373500157"/>
    <s v="Non-binary"/>
    <n v="57"/>
    <n v="29"/>
    <n v="32"/>
    <n v="77"/>
    <n v="9"/>
    <x v="1"/>
    <n v="6.5996141596895441"/>
    <x v="1"/>
    <s v="Bangalore"/>
    <n v="21"/>
    <n v="152"/>
    <n v="11"/>
    <n v="55.760492895244212"/>
    <s v="Pending"/>
    <n v="3.2133296074383103E-2"/>
    <x v="2"/>
    <s v="Route B"/>
    <n v="677.9445698461833"/>
    <n v="0"/>
    <n v="29"/>
    <n v="5"/>
  </r>
  <r>
    <x v="2"/>
    <s v="SKU73"/>
    <n v="83.851017681304597"/>
    <n v="0.41"/>
    <n v="375"/>
    <n v="7910.8869161406856"/>
    <x v="73"/>
    <n v="-23533.244714348541"/>
    <s v="Male"/>
    <n v="17"/>
    <n v="25"/>
    <n v="17"/>
    <n v="66"/>
    <n v="5"/>
    <x v="0"/>
    <n v="1.5129368369160772"/>
    <x v="3"/>
    <s v="Chennai"/>
    <n v="13"/>
    <n v="444"/>
    <n v="4"/>
    <n v="46.870238797617155"/>
    <s v="Fail"/>
    <n v="4.62054606451371E-2"/>
    <x v="0"/>
    <s v="Route A"/>
    <n v="866.4728001296578"/>
    <n v="0"/>
    <n v="25"/>
    <n v="21"/>
  </r>
  <r>
    <x v="0"/>
    <s v="SKU74"/>
    <n v="3.1700114135661548"/>
    <n v="0.64"/>
    <n v="904"/>
    <n v="5709.9452959692871"/>
    <x v="74"/>
    <n v="2844.2549781054831"/>
    <s v="Female"/>
    <n v="41"/>
    <n v="6"/>
    <n v="10"/>
    <n v="1"/>
    <n v="5"/>
    <x v="1"/>
    <n v="5.2376546500374479"/>
    <x v="3"/>
    <s v="Delhi"/>
    <n v="1"/>
    <n v="919"/>
    <n v="9"/>
    <n v="80.580852156447818"/>
    <s v="Fail"/>
    <n v="3.9661272410993504E-3"/>
    <x v="2"/>
    <s v="Route A"/>
    <n v="341.55265678322337"/>
    <n v="1"/>
    <n v="14"/>
    <n v="4"/>
  </r>
  <r>
    <x v="1"/>
    <s v="SKU75"/>
    <n v="92.996884233970661"/>
    <n v="0.28999999999999998"/>
    <n v="106"/>
    <n v="1889.073589779335"/>
    <x v="75"/>
    <n v="-7968.5961390215562"/>
    <s v="Non-binary"/>
    <n v="16"/>
    <n v="20"/>
    <n v="36"/>
    <n v="56"/>
    <n v="10"/>
    <x v="2"/>
    <n v="2.4738977610454609"/>
    <x v="1"/>
    <s v="Chennai"/>
    <n v="25"/>
    <n v="759"/>
    <n v="11"/>
    <n v="48.064782640006591"/>
    <s v="Pass"/>
    <n v="2.0300690886687501E-2"/>
    <x v="1"/>
    <s v="Route C"/>
    <n v="873.12964801765145"/>
    <n v="0"/>
    <n v="20"/>
    <n v="15"/>
  </r>
  <r>
    <x v="0"/>
    <s v="SKU76"/>
    <n v="69.108799547430323"/>
    <n v="0.23"/>
    <n v="241"/>
    <n v="5328.3759842977579"/>
    <x v="76"/>
    <n v="-11326.844706632948"/>
    <s v="Male"/>
    <n v="38"/>
    <n v="1"/>
    <n v="49"/>
    <n v="22"/>
    <n v="10"/>
    <x v="1"/>
    <n v="7.0545383368369263"/>
    <x v="4"/>
    <s v="Bangalore"/>
    <n v="25"/>
    <n v="985"/>
    <n v="24"/>
    <n v="64.323597795600222"/>
    <s v="Pending"/>
    <n v="2.1800374515822198E-2"/>
    <x v="2"/>
    <s v="Route A"/>
    <n v="997.4134501331946"/>
    <n v="1"/>
    <n v="34"/>
    <n v="21"/>
  </r>
  <r>
    <x v="0"/>
    <s v="SKU77"/>
    <n v="57.449742958971477"/>
    <n v="0.14000000000000001"/>
    <n v="359"/>
    <n v="2483.7601775427947"/>
    <x v="77"/>
    <n v="-18140.697544727966"/>
    <s v="Unknown"/>
    <n v="96"/>
    <n v="28"/>
    <n v="31"/>
    <n v="57"/>
    <n v="4"/>
    <x v="0"/>
    <n v="6.7809466256178954"/>
    <x v="1"/>
    <s v="Kolkata"/>
    <n v="26"/>
    <n v="334"/>
    <n v="5"/>
    <n v="42.952444748991837"/>
    <s v="Pass"/>
    <n v="3.05514181830755E-2"/>
    <x v="0"/>
    <s v="Route B"/>
    <n v="852.56809891984994"/>
    <n v="0"/>
    <n v="28"/>
    <n v="10"/>
  </r>
  <r>
    <x v="0"/>
    <s v="SKU78"/>
    <n v="6.3068831761119153"/>
    <n v="0.5"/>
    <n v="946"/>
    <n v="1292.4584179377562"/>
    <x v="78"/>
    <n v="-4673.8530666641154"/>
    <s v="Unknown"/>
    <n v="5"/>
    <n v="4"/>
    <n v="46"/>
    <n v="51"/>
    <n v="5"/>
    <x v="0"/>
    <n v="8.4670497708619905"/>
    <x v="2"/>
    <s v="Mumbai"/>
    <n v="25"/>
    <n v="858"/>
    <n v="21"/>
    <n v="71.126514720403378"/>
    <s v="Pending"/>
    <n v="4.0968813324704499E-2"/>
    <x v="3"/>
    <s v="Route C"/>
    <n v="323.59220343132216"/>
    <n v="1"/>
    <n v="26"/>
    <n v="35"/>
  </r>
  <r>
    <x v="0"/>
    <s v="SKU79"/>
    <n v="57.057031221103223"/>
    <n v="0.56000000000000005"/>
    <n v="198"/>
    <n v="7888.7232684270812"/>
    <x v="79"/>
    <n v="-3408.5689133513579"/>
    <s v="Non-binary"/>
    <n v="31"/>
    <n v="25"/>
    <n v="17"/>
    <n v="20"/>
    <n v="1"/>
    <x v="0"/>
    <n v="6.4963253642950445"/>
    <x v="0"/>
    <s v="Bangalore"/>
    <n v="5"/>
    <n v="228"/>
    <n v="12"/>
    <n v="57.87090292403628"/>
    <s v="Pending"/>
    <n v="1.65871627480608E-3"/>
    <x v="1"/>
    <s v="Route C"/>
    <n v="351.50421933503867"/>
    <n v="0"/>
    <n v="25"/>
    <n v="0"/>
  </r>
  <r>
    <x v="1"/>
    <s v="SKU80"/>
    <n v="91.128318350444331"/>
    <n v="0.75"/>
    <n v="872"/>
    <n v="8651.6726829820655"/>
    <x v="80"/>
    <n v="-70812.220918605395"/>
    <s v="Unknown"/>
    <n v="39"/>
    <n v="14"/>
    <n v="13"/>
    <n v="41"/>
    <n v="2"/>
    <x v="2"/>
    <n v="2.8331846794189746"/>
    <x v="0"/>
    <s v="Chennai"/>
    <n v="8"/>
    <n v="202"/>
    <n v="5"/>
    <n v="76.961228023820013"/>
    <s v="Fail"/>
    <n v="2.8496621985053299E-2"/>
    <x v="3"/>
    <s v="Route B"/>
    <n v="787.77985049434449"/>
    <n v="0"/>
    <n v="14"/>
    <n v="6"/>
  </r>
  <r>
    <x v="0"/>
    <s v="SKU81"/>
    <n v="72.819206930318217"/>
    <n v="0.09"/>
    <n v="774"/>
    <n v="4384.4134000458625"/>
    <x v="81"/>
    <n v="-51977.652764020437"/>
    <s v="Unknown"/>
    <n v="48"/>
    <n v="6"/>
    <n v="29"/>
    <n v="8"/>
    <n v="5"/>
    <x v="0"/>
    <n v="4.0662775015120438"/>
    <x v="0"/>
    <s v="Delhi"/>
    <n v="28"/>
    <n v="698"/>
    <n v="1"/>
    <n v="19.789592941903603"/>
    <s v="Pending"/>
    <n v="2.54754712154871E-2"/>
    <x v="2"/>
    <s v="Route B"/>
    <n v="276.77833594679885"/>
    <n v="0"/>
    <n v="6"/>
    <n v="18"/>
  </r>
  <r>
    <x v="1"/>
    <s v="SKU82"/>
    <n v="17.034930739467917"/>
    <n v="0.13"/>
    <n v="336"/>
    <n v="2943.3818676094515"/>
    <x v="82"/>
    <n v="-2780.3548608517685"/>
    <s v="Unknown"/>
    <n v="42"/>
    <n v="19"/>
    <n v="32"/>
    <n v="72"/>
    <n v="1"/>
    <x v="1"/>
    <n v="4.7081818735419301"/>
    <x v="4"/>
    <s v="Mumbai"/>
    <n v="6"/>
    <n v="955"/>
    <n v="26"/>
    <n v="4.4652784349432402"/>
    <s v="Pending"/>
    <n v="4.1378770486223598E-2"/>
    <x v="0"/>
    <s v="Route C"/>
    <n v="589.97855562804068"/>
    <n v="1"/>
    <n v="27"/>
    <n v="40"/>
  </r>
  <r>
    <x v="0"/>
    <s v="SKU83"/>
    <n v="68.911246211606326"/>
    <n v="0.82"/>
    <n v="663"/>
    <n v="2411.754632110491"/>
    <x v="83"/>
    <n v="-43276.401606184503"/>
    <s v="Unknown"/>
    <n v="65"/>
    <n v="24"/>
    <n v="25"/>
    <n v="7"/>
    <n v="8"/>
    <x v="0"/>
    <n v="4.9498395779969488"/>
    <x v="1"/>
    <s v="Bangalore"/>
    <n v="20"/>
    <n v="443"/>
    <n v="5"/>
    <n v="97.730593800533043"/>
    <s v="Fail"/>
    <n v="7.7300613406724797E-3"/>
    <x v="0"/>
    <s v="Route A"/>
    <n v="682.97101822609329"/>
    <n v="0"/>
    <n v="24"/>
    <n v="3"/>
  </r>
  <r>
    <x v="0"/>
    <s v="SKU84"/>
    <n v="89.104367292102253"/>
    <n v="0.99"/>
    <n v="618"/>
    <n v="2048.2900998487103"/>
    <x v="84"/>
    <n v="-53018.20888667048"/>
    <s v="Unknown"/>
    <n v="73"/>
    <n v="26"/>
    <n v="46"/>
    <n v="80"/>
    <n v="10"/>
    <x v="1"/>
    <n v="8.381615624922631"/>
    <x v="2"/>
    <s v="Chennai"/>
    <n v="24"/>
    <n v="589"/>
    <n v="22"/>
    <n v="33.808636513209095"/>
    <s v="Pass"/>
    <n v="4.8434565771180403E-2"/>
    <x v="1"/>
    <s v="Route B"/>
    <n v="465.45700596368795"/>
    <n v="0"/>
    <n v="26"/>
    <n v="29"/>
  </r>
  <r>
    <x v="2"/>
    <s v="SKU85"/>
    <n v="76.962994415193876"/>
    <n v="0.83"/>
    <n v="25"/>
    <n v="8684.6130592538575"/>
    <x v="85"/>
    <n v="6760.53819887401"/>
    <s v="Female"/>
    <n v="15"/>
    <n v="18"/>
    <n v="6"/>
    <n v="66"/>
    <n v="2"/>
    <x v="2"/>
    <n v="8.2491687048717282"/>
    <x v="2"/>
    <s v="Chennai"/>
    <n v="4"/>
    <n v="211"/>
    <n v="2"/>
    <n v="69.929345518672307"/>
    <s v="Fail"/>
    <n v="1.3744289997457601E-2"/>
    <x v="0"/>
    <s v="Route B"/>
    <n v="842.68683000464148"/>
    <n v="0"/>
    <n v="18"/>
    <n v="3"/>
  </r>
  <r>
    <x v="1"/>
    <s v="SKU86"/>
    <n v="19.998176940404221"/>
    <n v="0.18"/>
    <n v="223"/>
    <n v="1229.5910285649834"/>
    <x v="86"/>
    <n v="-3230.0024291451582"/>
    <s v="Unknown"/>
    <n v="32"/>
    <n v="14"/>
    <n v="22"/>
    <n v="22"/>
    <n v="6"/>
    <x v="0"/>
    <n v="1.4543053101535515"/>
    <x v="1"/>
    <s v="Mumbai"/>
    <n v="4"/>
    <n v="569"/>
    <n v="18"/>
    <n v="74.608969995194684"/>
    <s v="Pass"/>
    <n v="2.05151293076625E-2"/>
    <x v="2"/>
    <s v="Route A"/>
    <n v="264.25488983586649"/>
    <n v="1"/>
    <n v="24"/>
    <n v="12"/>
  </r>
  <r>
    <x v="0"/>
    <s v="SKU87"/>
    <n v="80.41403665035574"/>
    <n v="0.24"/>
    <n v="79"/>
    <n v="5133.8467010866916"/>
    <x v="87"/>
    <n v="-1218.8621942914115"/>
    <s v="Male"/>
    <n v="5"/>
    <n v="7"/>
    <n v="44"/>
    <n v="55"/>
    <n v="10"/>
    <x v="1"/>
    <n v="6.5758037975485353"/>
    <x v="0"/>
    <s v="Chennai"/>
    <n v="27"/>
    <n v="523"/>
    <n v="17"/>
    <n v="28.69699682414317"/>
    <s v="Fail"/>
    <n v="3.6937377878392803E-2"/>
    <x v="3"/>
    <s v="Route B"/>
    <n v="879.3592177349243"/>
    <n v="1"/>
    <n v="27"/>
    <n v="19"/>
  </r>
  <r>
    <x v="2"/>
    <s v="SKU88"/>
    <n v="75.27040697572501"/>
    <n v="0.57999999999999996"/>
    <n v="737"/>
    <n v="9444.7420330629793"/>
    <x v="88"/>
    <n v="-46029.547908046356"/>
    <s v="Male"/>
    <n v="60"/>
    <n v="18"/>
    <n v="32"/>
    <n v="85"/>
    <n v="7"/>
    <x v="1"/>
    <n v="3.8012531329310777"/>
    <x v="4"/>
    <s v="Mumbai"/>
    <n v="21"/>
    <n v="953"/>
    <n v="11"/>
    <n v="68.184919057041171"/>
    <s v="Pending"/>
    <n v="7.22204401882931E-3"/>
    <x v="3"/>
    <s v="Route A"/>
    <n v="103.91624796070495"/>
    <n v="0"/>
    <n v="18"/>
    <n v="7"/>
  </r>
  <r>
    <x v="2"/>
    <s v="SKU89"/>
    <n v="97.760085581938668"/>
    <n v="0.1"/>
    <n v="134"/>
    <n v="5924.682566853231"/>
    <x v="89"/>
    <n v="-7175.1689011265498"/>
    <s v="Unknown"/>
    <n v="90"/>
    <n v="1"/>
    <n v="34"/>
    <n v="27"/>
    <n v="8"/>
    <x v="0"/>
    <n v="9.9298162452772587"/>
    <x v="1"/>
    <s v="Kolkata"/>
    <n v="23"/>
    <n v="370"/>
    <n v="11"/>
    <n v="46.603873381644469"/>
    <s v="Pending"/>
    <n v="1.90766573395907E-2"/>
    <x v="2"/>
    <s v="Route B"/>
    <n v="517.4999739290605"/>
    <n v="1"/>
    <n v="19"/>
    <n v="7"/>
  </r>
  <r>
    <x v="1"/>
    <s v="SKU90"/>
    <n v="13.881913501359142"/>
    <n v="0.56000000000000005"/>
    <n v="320"/>
    <n v="9592.6335702803117"/>
    <x v="90"/>
    <n v="5150.4212498453862"/>
    <s v="Non-binary"/>
    <n v="66"/>
    <n v="18"/>
    <n v="16"/>
    <n v="96"/>
    <n v="7"/>
    <x v="0"/>
    <n v="7.6744307081126939"/>
    <x v="0"/>
    <s v="Bangalore"/>
    <n v="8"/>
    <n v="585"/>
    <n v="8"/>
    <n v="85.675963335797974"/>
    <s v="Pass"/>
    <n v="1.2193822244013899E-2"/>
    <x v="2"/>
    <s v="Route B"/>
    <n v="990.07847250581119"/>
    <n v="0"/>
    <n v="18"/>
    <n v="7"/>
  </r>
  <r>
    <x v="2"/>
    <s v="SKU91"/>
    <n v="62.111965463961788"/>
    <n v="0.9"/>
    <n v="916"/>
    <n v="1935.2067935075991"/>
    <x v="91"/>
    <n v="-54959.353571481399"/>
    <s v="Male"/>
    <n v="98"/>
    <n v="22"/>
    <n v="33"/>
    <n v="85"/>
    <n v="7"/>
    <x v="0"/>
    <n v="7.4715140844011456"/>
    <x v="3"/>
    <s v="Delhi"/>
    <n v="5"/>
    <n v="207"/>
    <n v="28"/>
    <n v="39.772882502339975"/>
    <s v="Pending"/>
    <n v="6.2600185820939503E-3"/>
    <x v="2"/>
    <s v="Route B"/>
    <n v="996.77831495062378"/>
    <n v="1"/>
    <n v="35"/>
    <n v="1"/>
  </r>
  <r>
    <x v="2"/>
    <s v="SKU92"/>
    <n v="47.714233075820232"/>
    <n v="0.44"/>
    <n v="276"/>
    <n v="2100.1297546259366"/>
    <x v="92"/>
    <n v="-11068.998574300447"/>
    <s v="Male"/>
    <n v="90"/>
    <n v="25"/>
    <n v="33"/>
    <n v="10"/>
    <n v="8"/>
    <x v="0"/>
    <n v="4.4695000261236011"/>
    <x v="4"/>
    <s v="Mumbai"/>
    <n v="4"/>
    <n v="671"/>
    <n v="29"/>
    <n v="62.612690395614344"/>
    <s v="Pass"/>
    <n v="3.3343182522473898E-3"/>
    <x v="2"/>
    <s v="Route B"/>
    <n v="230.09278253676294"/>
    <n v="1"/>
    <n v="37"/>
    <n v="2"/>
  </r>
  <r>
    <x v="0"/>
    <s v="SKU93"/>
    <n v="69.290831002905492"/>
    <n v="0.88"/>
    <n v="114"/>
    <n v="4531.4021336919095"/>
    <x v="93"/>
    <n v="-3367.7526006393164"/>
    <s v="Unknown"/>
    <n v="63"/>
    <n v="17"/>
    <n v="41"/>
    <n v="66"/>
    <n v="1"/>
    <x v="2"/>
    <n v="7.0064320590043945"/>
    <x v="3"/>
    <s v="Chennai"/>
    <n v="21"/>
    <n v="824"/>
    <n v="20"/>
    <n v="35.633652343343876"/>
    <s v="Fail"/>
    <n v="4.1657817954241401E-2"/>
    <x v="1"/>
    <s v="Route A"/>
    <n v="823.52384588815585"/>
    <n v="1"/>
    <n v="21"/>
    <n v="34"/>
  </r>
  <r>
    <x v="2"/>
    <s v="SKU94"/>
    <n v="3.0376887246314141"/>
    <n v="0.97"/>
    <n v="987"/>
    <n v="7888.3565466618729"/>
    <x v="94"/>
    <n v="4890.157775450667"/>
    <s v="Unknown"/>
    <n v="77"/>
    <n v="26"/>
    <n v="26"/>
    <n v="72"/>
    <n v="9"/>
    <x v="0"/>
    <n v="6.9429459420325808"/>
    <x v="4"/>
    <s v="Delhi"/>
    <n v="12"/>
    <n v="908"/>
    <n v="14"/>
    <n v="60.387378614862122"/>
    <s v="Pass"/>
    <n v="1.46360749847278E-2"/>
    <x v="2"/>
    <s v="Route B"/>
    <n v="846.66525698669477"/>
    <n v="0"/>
    <n v="26"/>
    <n v="13"/>
  </r>
  <r>
    <x v="0"/>
    <s v="SKU95"/>
    <n v="77.903927219447752"/>
    <n v="0.65"/>
    <n v="672"/>
    <n v="7386.3639440486641"/>
    <x v="95"/>
    <n v="-44965.075147420226"/>
    <s v="Unknown"/>
    <n v="15"/>
    <n v="14"/>
    <n v="44"/>
    <n v="26"/>
    <n v="9"/>
    <x v="0"/>
    <n v="8.6303388696027543"/>
    <x v="3"/>
    <s v="Mumbai"/>
    <n v="18"/>
    <n v="450"/>
    <n v="26"/>
    <n v="58.890685768589982"/>
    <s v="Pending"/>
    <n v="1.21088212958507E-2"/>
    <x v="1"/>
    <s v="Route A"/>
    <n v="778.8642413766479"/>
    <n v="1"/>
    <n v="35"/>
    <n v="5"/>
  </r>
  <r>
    <x v="2"/>
    <s v="SKU96"/>
    <n v="24.42313142037338"/>
    <n v="0.28999999999999998"/>
    <n v="324"/>
    <n v="7698.4247656321168"/>
    <x v="96"/>
    <n v="-214.66981456885878"/>
    <s v="Non-binary"/>
    <n v="67"/>
    <n v="2"/>
    <n v="56"/>
    <n v="32"/>
    <n v="3"/>
    <x v="2"/>
    <n v="5.3528780439968093"/>
    <x v="0"/>
    <s v="Mumbai"/>
    <n v="28"/>
    <n v="648"/>
    <n v="28"/>
    <n v="17.80375633139127"/>
    <s v="Pending"/>
    <n v="3.8720476814821297E-2"/>
    <x v="0"/>
    <s v="Route A"/>
    <n v="188.74214114905698"/>
    <n v="1"/>
    <n v="31"/>
    <n v="25"/>
  </r>
  <r>
    <x v="0"/>
    <s v="SKU97"/>
    <n v="3.5261112591434158"/>
    <n v="0.56000000000000005"/>
    <n v="62"/>
    <n v="4370.9165799845359"/>
    <x v="97"/>
    <n v="4152.2976819176438"/>
    <s v="Male"/>
    <n v="46"/>
    <n v="19"/>
    <n v="23"/>
    <n v="4"/>
    <n v="9"/>
    <x v="1"/>
    <n v="7.9048456112096748"/>
    <x v="3"/>
    <s v="Mumbai"/>
    <n v="10"/>
    <n v="535"/>
    <n v="13"/>
    <n v="65.765155926367456"/>
    <s v="Fail"/>
    <n v="3.3762378347179801E-2"/>
    <x v="0"/>
    <s v="Route A"/>
    <n v="540.13242286796776"/>
    <n v="0"/>
    <n v="19"/>
    <n v="18"/>
  </r>
  <r>
    <x v="1"/>
    <s v="SKU98"/>
    <n v="19.754604866878601"/>
    <n v="0.43"/>
    <n v="913"/>
    <n v="8525.9525596835265"/>
    <x v="98"/>
    <n v="-9510.0016837766379"/>
    <s v="Female"/>
    <n v="53"/>
    <n v="1"/>
    <n v="37"/>
    <n v="27"/>
    <n v="7"/>
    <x v="0"/>
    <n v="1.4098010951380731"/>
    <x v="2"/>
    <s v="Chennai"/>
    <n v="28"/>
    <n v="581"/>
    <n v="9"/>
    <n v="5.604690864371781"/>
    <s v="Pending"/>
    <n v="2.9081221693512599E-2"/>
    <x v="2"/>
    <s v="Route A"/>
    <n v="882.19886354704147"/>
    <n v="1"/>
    <n v="16"/>
    <n v="17"/>
  </r>
  <r>
    <x v="0"/>
    <s v="SKU99"/>
    <n v="68.517832699276639"/>
    <n v="0.17"/>
    <n v="627"/>
    <n v="9185.1858291817043"/>
    <x v="99"/>
    <n v="-33775.495273264751"/>
    <s v="Unknown"/>
    <n v="55"/>
    <n v="8"/>
    <n v="31"/>
    <n v="59"/>
    <n v="6"/>
    <x v="0"/>
    <n v="1.3110237561206226"/>
    <x v="4"/>
    <s v="Chennai"/>
    <n v="29"/>
    <n v="921"/>
    <n v="2"/>
    <n v="38.07289852062604"/>
    <s v="Fail"/>
    <n v="3.46027290705503E-3"/>
    <x v="2"/>
    <s v="Route B"/>
    <n v="210.74300896424614"/>
    <n v="0"/>
    <n v="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80B31-CDC7-418C-AE51-F5C0B5513FA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5">
    <pivotField showAll="0"/>
    <pivotField showAll="0"/>
    <pivotField numFmtId="2" showAll="0"/>
    <pivotField numFmtId="9" showAll="0"/>
    <pivotField showAll="0"/>
    <pivotField dataField="1"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numFmtId="10" showAll="0"/>
    <pivotField showAll="0"/>
    <pivotField showAll="0"/>
    <pivotField numFmtId="2"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Revenue 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9AC27-F975-4A84-ADFA-1B114E8CF2B5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35">
    <pivotField showAll="0"/>
    <pivotField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dataField="1" showAll="0"/>
    <pivotField showAll="0"/>
    <pivotField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numFmtId="10" showAll="0"/>
    <pivotField showAll="0"/>
    <pivotField showAll="0"/>
    <pivotField numFmtId="2"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Shipping times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0C8FB-0D7E-4888-BA15-7236AD416CDC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35">
    <pivotField showAll="0"/>
    <pivotField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numFmtId="10" showAll="0"/>
    <pivotField showAll="0"/>
    <pivotField showAll="0"/>
    <pivotField numFmtId="2"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Stock Availability" fld="34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28D5E-A03D-4932-B923-EE54416613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28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B10BA-55E5-468B-8F88-4AE71E4C213D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35">
    <pivotField showAll="0"/>
    <pivotField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numFmtId="10" showAll="0"/>
    <pivotField showAll="0"/>
    <pivotField showAll="0"/>
    <pivotField numFmtId="2" showAll="0"/>
    <pivotField showAll="0"/>
    <pivotField dataField="1"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Lead Time" fld="28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55DD4-BF85-40D6-992C-EFA98F4DF2ED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A19" firstHeaderRow="1" firstDataRow="1" firstDataCol="0"/>
  <pivotFields count="35">
    <pivotField showAll="0"/>
    <pivotField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dataField="1" numFmtId="10" showAll="0"/>
    <pivotField showAll="0"/>
    <pivotField showAll="0"/>
    <pivotField numFmtId="2"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Defect rates" fld="2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51A69-DC47-4168-B2DE-93713C2CB43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G4:J8" firstHeaderRow="0" firstDataRow="1" firstDataCol="1"/>
  <pivotFields count="35">
    <pivotField axis="axisRow" showAll="0">
      <items count="4">
        <item x="2"/>
        <item x="0"/>
        <item x="1"/>
        <item t="default"/>
      </items>
    </pivotField>
    <pivotField showAll="0"/>
    <pivotField numFmtId="2" showAll="0"/>
    <pivotField numFmtId="9" showAll="0"/>
    <pivotField dataField="1"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showAll="0"/>
    <pivotField showAll="0"/>
    <pivotField numFmtId="1" showAll="0"/>
    <pivotField dataField="1" numFmtId="1" showAll="0"/>
    <pivotField numFmtId="1" showAll="0"/>
    <pivotField numFmtId="2" showAll="0"/>
    <pivotField showAll="0"/>
    <pivotField numFmtId="10" showAll="0"/>
    <pivotField showAll="0"/>
    <pivotField showAll="0"/>
    <pivotField numFmtId="2"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Number of products sold" fld="4" baseField="0" baseItem="0"/>
    <dataField name="Number of products produced" fld="19" baseField="0" baseItem="0" numFmtId="1"/>
    <dataField name=" Production Gap " fld="3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6DDE5-62EB-4CEA-B3FE-9548BEFF4DC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4:C20" firstHeaderRow="0" firstDataRow="1" firstDataCol="1"/>
  <pivotFields count="31">
    <pivotField axis="axisRow" showAll="0">
      <items count="5">
        <item x="2"/>
        <item x="0"/>
        <item x="1"/>
        <item h="1" x="3"/>
        <item t="default"/>
      </items>
    </pivotField>
    <pivotField showAll="0">
      <items count="102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0"/>
    <field x="8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 " fld="5" baseField="0" baseItem="0" numFmtId="2"/>
    <dataField name="Sales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1D669-33E9-4B47-A215-B88436F14F67}" name="PivotTable9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Products">
  <location ref="G3:H7" firstHeaderRow="1" firstDataRow="1" firstDataCol="1"/>
  <pivotFields count="35">
    <pivotField axis="axisRow" showAll="0">
      <items count="4">
        <item x="2"/>
        <item x="0"/>
        <item x="1"/>
        <item t="default"/>
      </items>
    </pivotField>
    <pivotField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dataField="1" numFmtId="10" showAll="0"/>
    <pivotField showAll="0"/>
    <pivotField showAll="0"/>
    <pivotField numFmtId="2"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fect rates" fld="2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2342E-7169-477A-8906-FA3A808D7123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E7" firstHeaderRow="0" firstDataRow="1" firstDataCol="1"/>
  <pivotFields count="35"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2" showAll="0"/>
    <pivotField numFmtId="9" showAll="0"/>
    <pivotField dataField="1" showAll="0"/>
    <pivotField numFmtId="2" showAll="0"/>
    <pivotField numFmtId="2" showAll="0"/>
    <pivotField numFmtId="2" showAll="0"/>
    <pivotField showAll="0"/>
    <pivotField dataField="1" numFmtId="1" showAll="0"/>
    <pivotField numFmtId="1" showAll="0"/>
    <pivotField numFmtId="1" showAll="0"/>
    <pivotField numFmtId="1" showAll="0"/>
    <pivotField showAll="0"/>
    <pivotField showAll="0"/>
    <pivotField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numFmtId="10" showAll="0"/>
    <pivotField showAll="0"/>
    <pivotField showAll="0"/>
    <pivotField numFmtId="2" showAll="0"/>
    <pivotField showAll="0"/>
    <pivotField numFmtId="1"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of Stock levels" fld="9" baseField="0" baseItem="0" numFmtId="1"/>
    <dataField name="Total of products sold" fld="4" baseField="0" baseItem="0"/>
    <dataField name="Stock Ratio" fld="30" baseField="0" baseItem="0" numFmtId="10"/>
    <dataField name="Inventory Turnover" fld="3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52625-06D3-4A5E-A2F3-3D4BDE346165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liers">
  <location ref="G20:H26" firstHeaderRow="1" firstDataRow="1" firstDataCol="1"/>
  <pivotFields count="35">
    <pivotField showAll="0"/>
    <pivotField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axis="axisRow" showAll="0" sortType="descending">
      <items count="6">
        <item x="1"/>
        <item x="4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numFmtId="2" showAll="0"/>
    <pivotField showAll="0"/>
    <pivotField numFmtId="10" showAll="0"/>
    <pivotField showAll="0"/>
    <pivotField showAll="0"/>
    <pivotField numFmtId="2" showAll="0"/>
    <pivotField showAll="0"/>
    <pivotField dataField="1"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6"/>
  </rowFields>
  <rowItems count="6">
    <i>
      <x v="4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Average of Lead Time" fld="28" subtotal="average" baseField="16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D82EB-2F0C-45DC-900B-3B46EB6A95BE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rriers">
  <location ref="G11:H15" firstHeaderRow="1" firstDataRow="1" firstDataCol="1"/>
  <pivotFields count="35">
    <pivotField showAll="0">
      <items count="4">
        <item x="2"/>
        <item x="0"/>
        <item x="1"/>
        <item t="default"/>
      </items>
    </pivotField>
    <pivotField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numFmtId="1" showAll="0"/>
    <pivotField numFmtId="1" showAll="0"/>
    <pivotField numFmtId="1"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2" showAll="0"/>
    <pivotField showAll="0"/>
    <pivotField showAll="0"/>
    <pivotField numFmtId="1" showAll="0"/>
    <pivotField numFmtId="1" showAll="0"/>
    <pivotField numFmtId="1" showAll="0"/>
    <pivotField numFmtId="2" showAll="0"/>
    <pivotField showAll="0"/>
    <pivotField numFmtId="10" showAll="0"/>
    <pivotField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 Shipping costs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20A0E-66B5-42F0-97A5-EA57077B9350}" name="PivotTable12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11:C26" firstHeaderRow="1" firstDataRow="1" firstDataCol="2"/>
  <pivotFields count="35">
    <pivotField compact="0" outline="0" showAll="0"/>
    <pivotField compact="0" outline="0" showAll="0"/>
    <pivotField compact="0" numFmtId="2" outline="0" showAll="0"/>
    <pivotField compact="0" numFmtId="9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2" outline="0" showAll="0"/>
    <pivotField compact="0" outline="0" showAll="0"/>
    <pivotField compact="0" numFmtId="10" outline="0" showAll="0"/>
    <pivotField axis="axisRow" compact="0" outline="0" showAll="0" sortType="a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outline="0" showAll="0"/>
    <pivotField compact="0" numFmtId="1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14"/>
    <field x="24"/>
  </rowFields>
  <rowItems count="15">
    <i>
      <x/>
      <x v="2"/>
    </i>
    <i r="1">
      <x/>
    </i>
    <i r="1">
      <x v="3"/>
    </i>
    <i r="1">
      <x v="1"/>
    </i>
    <i t="default">
      <x/>
    </i>
    <i>
      <x v="2"/>
      <x v="2"/>
    </i>
    <i r="1">
      <x v="1"/>
    </i>
    <i r="1">
      <x/>
    </i>
    <i r="1">
      <x v="3"/>
    </i>
    <i t="default">
      <x v="2"/>
    </i>
    <i>
      <x v="1"/>
      <x/>
    </i>
    <i r="1">
      <x v="2"/>
    </i>
    <i r="1">
      <x v="1"/>
    </i>
    <i r="1">
      <x v="3"/>
    </i>
    <i t="default">
      <x v="1"/>
    </i>
  </rowItems>
  <colItems count="1">
    <i/>
  </colItems>
  <dataFields count="1">
    <dataField name="Average of Shipping times" fld="13" subtotal="average" baseField="24" baseItem="0" numFmtId="165"/>
  </dataFields>
  <pivotTableStyleInfo name="PivotStyleLight16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9AB0B6-BBBC-4153-9FEC-BB12619F1F37}" autoFormatId="16" applyNumberFormats="0" applyBorderFormats="0" applyFontFormats="0" applyPatternFormats="0" applyAlignmentFormats="0" applyWidthHeightFormats="0">
  <queryTableRefresh nextId="33">
    <queryTableFields count="28">
      <queryTableField id="1" name="Product type" tableColumnId="29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31" name="Revenue generated" tableColumnId="6"/>
      <queryTableField id="9" name="Customer demographics" tableColumnId="9"/>
      <queryTableField id="10" name="Stock levels" tableColumnId="10"/>
      <queryTableField id="11" name="Lead times" tableColumnId="11"/>
      <queryTableField id="12" name="Actual Lead time" tableColumnId="12"/>
      <queryTableField id="13" name="Order quantities" tableColumnId="13"/>
      <queryTableField id="14" name="Shipping times" tableColumnId="14"/>
      <queryTableField id="15" name="Shipping carriers" tableColumnId="15"/>
      <queryTableField id="16" name="Shipping costs" tableColumnId="16"/>
      <queryTableField id="17" name="Supplier name" tableColumnId="17"/>
      <queryTableField id="18" name="Location" tableColumnId="18"/>
      <queryTableField id="19" name="Supplier lead time" tableColumnId="19"/>
      <queryTableField id="20" name="Production volumes" tableColumnId="20"/>
      <queryTableField id="21" name="Manufacturing lead time" tableColumnId="21"/>
      <queryTableField id="22" name="Manufacturing costs" tableColumnId="22"/>
      <queryTableField id="23" name="Inspection results" tableColumnId="23"/>
      <queryTableField id="24" name="Defect rates" tableColumnId="24"/>
      <queryTableField id="25" name="Transportation modes" tableColumnId="25"/>
      <queryTableField id="26" name="Routes" tableColumnId="26"/>
      <queryTableField id="27" name="Costs" tableColumnId="27"/>
      <queryTableField id="28" name="Check_MLT_vs_LT" tableColumnId="28"/>
      <queryTableField id="29" name="Adjusted Lead Time" tableColumnId="1"/>
      <queryTableField id="30" name="Total Defect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99D93-C0FB-4A98-8CEF-079AB4315E76}" name="supply_chain_data__1" displayName="supply_chain_data__1" ref="A1:AB101" tableType="queryTable" totalsRowShown="0">
  <autoFilter ref="A1:AB101" xr:uid="{E9899D93-C0FB-4A98-8CEF-079AB4315E76}"/>
  <tableColumns count="28">
    <tableColumn id="29" xr3:uid="{EB76BD3C-FB80-41AB-862F-6793BEA37AE8}" uniqueName="29" name="Product type" queryTableFieldId="1" dataDxfId="23"/>
    <tableColumn id="2" xr3:uid="{476F93F3-97FB-4655-AC36-2B89E5424FF7}" uniqueName="2" name="SKU" queryTableFieldId="2" dataDxfId="22"/>
    <tableColumn id="3" xr3:uid="{BEC736F1-8236-410C-B817-5435765D6CF2}" uniqueName="3" name="Price" queryTableFieldId="3" dataDxfId="21"/>
    <tableColumn id="4" xr3:uid="{58002D37-4C53-4081-9530-527D3DC15550}" uniqueName="4" name="Availability" queryTableFieldId="4" dataDxfId="20"/>
    <tableColumn id="5" xr3:uid="{11357F99-A4AA-480B-AF04-E73929F405DB}" uniqueName="5" name="Number of products sold" queryTableFieldId="5"/>
    <tableColumn id="6" xr3:uid="{F0C11738-C2A4-42DF-9481-75D5C6BE2497}" uniqueName="6" name="Revenue generated" queryTableFieldId="31"/>
    <tableColumn id="9" xr3:uid="{950BD55C-69A2-4787-B9AE-BE160188D0B8}" uniqueName="9" name="Customer demographics" queryTableFieldId="9" dataDxfId="19"/>
    <tableColumn id="10" xr3:uid="{DBA74802-F9F9-4F35-8B5E-7A7E1C784511}" uniqueName="10" name="Stock levels" queryTableFieldId="10" dataDxfId="18"/>
    <tableColumn id="11" xr3:uid="{87BDC5A7-3D5A-4A11-A2C0-3D44D1D9DE44}" uniqueName="11" name="Lead times" queryTableFieldId="11" dataDxfId="17"/>
    <tableColumn id="12" xr3:uid="{F8BD5452-7448-4C44-8636-9F18400EDBC5}" uniqueName="12" name="Actual Lead time" queryTableFieldId="12" dataDxfId="16"/>
    <tableColumn id="13" xr3:uid="{AF7C8010-BD62-402F-8576-07ED0C023731}" uniqueName="13" name="Order quantities" queryTableFieldId="13" dataDxfId="15"/>
    <tableColumn id="14" xr3:uid="{410B0BF4-CE94-4B29-B43E-BC1F808E3145}" uniqueName="14" name="Shipping times" queryTableFieldId="14"/>
    <tableColumn id="15" xr3:uid="{2BCAFEA7-58D4-450B-AC9E-E3F0C5A7C867}" uniqueName="15" name="Shipping carriers" queryTableFieldId="15" dataDxfId="14"/>
    <tableColumn id="16" xr3:uid="{ACB7A74B-6E8C-4088-8F1D-E99A58D111B3}" uniqueName="16" name="Shipping costs" queryTableFieldId="16" dataDxfId="13"/>
    <tableColumn id="17" xr3:uid="{1F9A637D-28BB-42BB-AB09-B3B381CA73DC}" uniqueName="17" name="Supplier name" queryTableFieldId="17" dataDxfId="12"/>
    <tableColumn id="18" xr3:uid="{E8DE04DF-D727-4EF3-8199-DF53B96F2F9A}" uniqueName="18" name="Location" queryTableFieldId="18" dataDxfId="11"/>
    <tableColumn id="19" xr3:uid="{DF1B71FC-A487-48EC-AD8C-EFC40ABD0388}" uniqueName="19" name="Supplier lead time" queryTableFieldId="19" dataDxfId="10"/>
    <tableColumn id="20" xr3:uid="{BC02B0C9-EAA4-4158-8BBD-62D7E2471324}" uniqueName="20" name="Production volumes" queryTableFieldId="20" dataDxfId="9"/>
    <tableColumn id="21" xr3:uid="{C7EF1FB2-BC49-4015-9E97-E0435D186835}" uniqueName="21" name="Manufacturing lead time" queryTableFieldId="21" dataDxfId="8"/>
    <tableColumn id="22" xr3:uid="{8CFC5A31-A161-4068-9D62-6C73AC3F4690}" uniqueName="22" name="Manufacturing costs" queryTableFieldId="22" dataDxfId="7"/>
    <tableColumn id="23" xr3:uid="{B60BE9AB-20FA-4C48-81F1-3AB9C20706F1}" uniqueName="23" name="Inspection results" queryTableFieldId="23" dataDxfId="6"/>
    <tableColumn id="24" xr3:uid="{6BEB3C29-8C99-4F43-A51D-48DDF556A480}" uniqueName="24" name="Defect rates" queryTableFieldId="24" dataDxfId="5"/>
    <tableColumn id="25" xr3:uid="{FC2EBE35-11DB-4C5E-AE31-8D1200C9028F}" uniqueName="25" name="Transportation modes" queryTableFieldId="25" dataDxfId="4"/>
    <tableColumn id="26" xr3:uid="{681C8BCD-CBF4-4A61-B3C2-80A0766C231F}" uniqueName="26" name="Routes" queryTableFieldId="26" dataDxfId="3"/>
    <tableColumn id="27" xr3:uid="{2A10332D-0179-4918-AE2C-85E407AAA2BC}" uniqueName="27" name="Costs" queryTableFieldId="27" dataDxfId="2"/>
    <tableColumn id="28" xr3:uid="{B068C8C2-66E2-4799-B243-91A54E3E61A4}" uniqueName="28" name="Check_MLT_vs_LT" queryTableFieldId="28"/>
    <tableColumn id="1" xr3:uid="{7A35636B-634F-40D2-B23F-A7B9B6CD2059}" uniqueName="1" name="Adjusted Lead Time" queryTableFieldId="29" dataDxfId="1"/>
    <tableColumn id="30" xr3:uid="{4C55D5BA-923A-4326-AE4C-7D68FD9821AC}" uniqueName="30" name="Total Defects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C83C-D9DF-402D-9AA5-1E115123A8AF}">
  <dimension ref="A1:AF101"/>
  <sheetViews>
    <sheetView topLeftCell="A2" workbookViewId="0">
      <selection activeCell="D8" sqref="A2:AB101"/>
    </sheetView>
  </sheetViews>
  <sheetFormatPr defaultRowHeight="15" x14ac:dyDescent="0.25"/>
  <cols>
    <col min="1" max="1" width="14.5703125" bestFit="1" customWidth="1"/>
    <col min="2" max="2" width="6.85546875" bestFit="1" customWidth="1"/>
    <col min="3" max="3" width="7.7109375" style="1" bestFit="1" customWidth="1"/>
    <col min="4" max="4" width="13.28515625" style="3" bestFit="1" customWidth="1"/>
    <col min="5" max="5" width="25.5703125" bestFit="1" customWidth="1"/>
    <col min="6" max="6" width="21" style="1" bestFit="1" customWidth="1"/>
    <col min="7" max="7" width="25.140625" style="1" bestFit="1" customWidth="1"/>
    <col min="8" max="8" width="13.7109375" style="1" bestFit="1" customWidth="1"/>
    <col min="9" max="9" width="12.85546875" bestFit="1" customWidth="1"/>
    <col min="10" max="10" width="18.140625" style="4" bestFit="1" customWidth="1"/>
    <col min="11" max="11" width="18" style="4" bestFit="1" customWidth="1"/>
    <col min="12" max="12" width="18.140625" style="4" hidden="1" customWidth="1"/>
    <col min="13" max="13" width="18.140625" style="4" bestFit="1" customWidth="1"/>
    <col min="14" max="14" width="16" bestFit="1" customWidth="1"/>
    <col min="15" max="15" width="16.28515625" bestFit="1" customWidth="1"/>
    <col min="16" max="16" width="10.7109375" style="1" bestFit="1" customWidth="1"/>
    <col min="17" max="17" width="19.85546875" bestFit="1" customWidth="1"/>
    <col min="18" max="18" width="21.28515625" bestFit="1" customWidth="1"/>
    <col min="19" max="19" width="25.5703125" style="4" bestFit="1" customWidth="1"/>
    <col min="20" max="20" width="21.42578125" style="4" bestFit="1" customWidth="1"/>
    <col min="21" max="21" width="19.140625" style="4" bestFit="1" customWidth="1"/>
    <col min="22" max="22" width="14" style="1" bestFit="1" customWidth="1"/>
    <col min="23" max="23" width="23" bestFit="1" customWidth="1"/>
    <col min="24" max="24" width="9.42578125" style="2" bestFit="1" customWidth="1"/>
    <col min="25" max="25" width="8" bestFit="1" customWidth="1"/>
    <col min="26" max="26" width="19.140625" bestFit="1" customWidth="1"/>
    <col min="27" max="27" width="21" style="1" bestFit="1" customWidth="1"/>
    <col min="28" max="28" width="14.85546875" style="1" bestFit="1" customWidth="1"/>
    <col min="29" max="29" width="14.85546875" bestFit="1" customWidth="1"/>
    <col min="30" max="30" width="21" style="4" bestFit="1" customWidth="1"/>
    <col min="31" max="31" width="14.85546875" style="4" bestFit="1" customWidth="1"/>
    <col min="34" max="34" width="14.28515625" bestFit="1" customWidth="1"/>
    <col min="35" max="35" width="14" bestFit="1" customWidth="1"/>
  </cols>
  <sheetData>
    <row r="1" spans="1:32" x14ac:dyDescent="0.25">
      <c r="A1" t="s">
        <v>0</v>
      </c>
      <c r="B1" t="s">
        <v>1</v>
      </c>
      <c r="C1" s="1" t="s">
        <v>2</v>
      </c>
      <c r="D1" s="3" t="s">
        <v>3</v>
      </c>
      <c r="E1" t="s">
        <v>4</v>
      </c>
      <c r="F1" t="s">
        <v>182</v>
      </c>
      <c r="G1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t="s">
        <v>10</v>
      </c>
      <c r="M1" t="s">
        <v>11</v>
      </c>
      <c r="N1" s="1" t="s">
        <v>12</v>
      </c>
      <c r="O1" t="s">
        <v>13</v>
      </c>
      <c r="P1" t="s">
        <v>14</v>
      </c>
      <c r="Q1" s="4" t="s">
        <v>15</v>
      </c>
      <c r="R1" s="4" t="s">
        <v>16</v>
      </c>
      <c r="S1" s="4" t="s">
        <v>17</v>
      </c>
      <c r="T1" s="1" t="s">
        <v>18</v>
      </c>
      <c r="U1" t="s">
        <v>19</v>
      </c>
      <c r="V1" s="2" t="s">
        <v>20</v>
      </c>
      <c r="W1" t="s">
        <v>21</v>
      </c>
      <c r="X1" t="s">
        <v>22</v>
      </c>
      <c r="Y1" s="1" t="s">
        <v>23</v>
      </c>
      <c r="Z1" t="s">
        <v>24</v>
      </c>
      <c r="AA1" s="4" t="s">
        <v>158</v>
      </c>
      <c r="AB1" t="s">
        <v>166</v>
      </c>
      <c r="AD1"/>
      <c r="AE1"/>
    </row>
    <row r="2" spans="1:32" x14ac:dyDescent="0.25">
      <c r="A2" t="s">
        <v>25</v>
      </c>
      <c r="B2" t="s">
        <v>26</v>
      </c>
      <c r="C2" s="1">
        <v>69.808005542115765</v>
      </c>
      <c r="D2" s="3">
        <v>0.55000000000000004</v>
      </c>
      <c r="E2">
        <v>802</v>
      </c>
      <c r="F2">
        <v>8661.9967923923832</v>
      </c>
      <c r="G2" t="s">
        <v>27</v>
      </c>
      <c r="H2" s="4">
        <v>58</v>
      </c>
      <c r="I2" s="4">
        <v>7</v>
      </c>
      <c r="J2">
        <v>58</v>
      </c>
      <c r="K2" s="4">
        <v>96</v>
      </c>
      <c r="L2">
        <v>4</v>
      </c>
      <c r="M2" t="s">
        <v>28</v>
      </c>
      <c r="N2" s="1">
        <v>2.9565721394308069</v>
      </c>
      <c r="O2" t="s">
        <v>29</v>
      </c>
      <c r="P2" t="s">
        <v>30</v>
      </c>
      <c r="Q2" s="4">
        <v>29</v>
      </c>
      <c r="R2" s="4">
        <v>215</v>
      </c>
      <c r="S2" s="4">
        <v>29</v>
      </c>
      <c r="T2" s="1">
        <v>46.279879240508322</v>
      </c>
      <c r="U2" t="s">
        <v>31</v>
      </c>
      <c r="V2" s="1">
        <v>0.22641036084992516</v>
      </c>
      <c r="W2" t="s">
        <v>32</v>
      </c>
      <c r="X2" t="s">
        <v>33</v>
      </c>
      <c r="Y2" s="1">
        <v>187.75207545920392</v>
      </c>
      <c r="Z2">
        <v>1</v>
      </c>
      <c r="AA2" s="4">
        <v>33</v>
      </c>
      <c r="AB2">
        <v>48.678227582733911</v>
      </c>
      <c r="AD2"/>
      <c r="AE2"/>
    </row>
    <row r="3" spans="1:32" x14ac:dyDescent="0.25">
      <c r="A3" t="s">
        <v>34</v>
      </c>
      <c r="B3" t="s">
        <v>35</v>
      </c>
      <c r="C3" s="1">
        <v>14.843523275084339</v>
      </c>
      <c r="D3" s="3">
        <v>0.95</v>
      </c>
      <c r="E3">
        <v>736</v>
      </c>
      <c r="F3">
        <v>7460.9000654458487</v>
      </c>
      <c r="G3" t="s">
        <v>36</v>
      </c>
      <c r="H3" s="4">
        <v>53</v>
      </c>
      <c r="I3" s="4">
        <v>30</v>
      </c>
      <c r="J3">
        <v>53</v>
      </c>
      <c r="K3" s="4">
        <v>37</v>
      </c>
      <c r="L3">
        <v>2</v>
      </c>
      <c r="M3" t="s">
        <v>37</v>
      </c>
      <c r="N3" s="1">
        <v>9.7165747714313095</v>
      </c>
      <c r="O3" t="s">
        <v>29</v>
      </c>
      <c r="P3" t="s">
        <v>30</v>
      </c>
      <c r="Q3" s="4">
        <v>23</v>
      </c>
      <c r="R3" s="4">
        <v>517</v>
      </c>
      <c r="S3" s="4">
        <v>30</v>
      </c>
      <c r="T3" s="1">
        <v>33.616768953730002</v>
      </c>
      <c r="U3" t="s">
        <v>31</v>
      </c>
      <c r="V3" s="1">
        <v>4.8540680263887062</v>
      </c>
      <c r="W3" t="s">
        <v>32</v>
      </c>
      <c r="X3" t="s">
        <v>33</v>
      </c>
      <c r="Y3" s="1">
        <v>503.06557914966919</v>
      </c>
      <c r="Z3">
        <v>0</v>
      </c>
      <c r="AA3" s="4">
        <v>30</v>
      </c>
      <c r="AB3">
        <v>2509.5531696429612</v>
      </c>
      <c r="AD3"/>
      <c r="AE3"/>
    </row>
    <row r="4" spans="1:32" x14ac:dyDescent="0.25">
      <c r="A4" t="s">
        <v>25</v>
      </c>
      <c r="B4" t="s">
        <v>38</v>
      </c>
      <c r="C4" s="1">
        <v>11.319683293090566</v>
      </c>
      <c r="D4" s="3">
        <v>0.34</v>
      </c>
      <c r="E4">
        <v>8</v>
      </c>
      <c r="F4">
        <v>9577.7496258687297</v>
      </c>
      <c r="G4" t="s">
        <v>39</v>
      </c>
      <c r="H4" s="4">
        <v>1</v>
      </c>
      <c r="I4" s="4">
        <v>10</v>
      </c>
      <c r="J4">
        <v>39</v>
      </c>
      <c r="K4" s="4">
        <v>88</v>
      </c>
      <c r="L4">
        <v>2</v>
      </c>
      <c r="M4" t="s">
        <v>28</v>
      </c>
      <c r="N4" s="1">
        <v>8.0544792617321548</v>
      </c>
      <c r="O4" t="s">
        <v>40</v>
      </c>
      <c r="P4" t="s">
        <v>30</v>
      </c>
      <c r="Q4" s="4">
        <v>12</v>
      </c>
      <c r="R4" s="4">
        <v>971</v>
      </c>
      <c r="S4" s="4">
        <v>27</v>
      </c>
      <c r="T4" s="1">
        <v>30.688019348284204</v>
      </c>
      <c r="U4" t="s">
        <v>31</v>
      </c>
      <c r="V4" s="1">
        <v>4.580592619199229</v>
      </c>
      <c r="W4" t="s">
        <v>41</v>
      </c>
      <c r="X4" t="s">
        <v>42</v>
      </c>
      <c r="Y4" s="1">
        <v>141.92028177151906</v>
      </c>
      <c r="Z4">
        <v>1</v>
      </c>
      <c r="AA4" s="4">
        <v>29</v>
      </c>
      <c r="AB4">
        <v>4447.7554332424515</v>
      </c>
      <c r="AD4"/>
      <c r="AE4"/>
    </row>
    <row r="5" spans="1:32" x14ac:dyDescent="0.25">
      <c r="A5" t="s">
        <v>34</v>
      </c>
      <c r="B5" t="s">
        <v>43</v>
      </c>
      <c r="C5" s="1">
        <v>61.163343016437736</v>
      </c>
      <c r="D5" s="3">
        <v>0.68</v>
      </c>
      <c r="E5">
        <v>83</v>
      </c>
      <c r="F5">
        <v>7766.8364256852328</v>
      </c>
      <c r="G5" t="s">
        <v>27</v>
      </c>
      <c r="H5" s="4">
        <v>23</v>
      </c>
      <c r="I5" s="4">
        <v>13</v>
      </c>
      <c r="J5">
        <v>42</v>
      </c>
      <c r="K5" s="4">
        <v>59</v>
      </c>
      <c r="L5">
        <v>6</v>
      </c>
      <c r="M5" t="s">
        <v>44</v>
      </c>
      <c r="N5" s="1">
        <v>1.7295685635434288</v>
      </c>
      <c r="O5" t="s">
        <v>45</v>
      </c>
      <c r="P5" t="s">
        <v>46</v>
      </c>
      <c r="Q5" s="4">
        <v>24</v>
      </c>
      <c r="R5" s="4">
        <v>937</v>
      </c>
      <c r="S5" s="4">
        <v>18</v>
      </c>
      <c r="T5" s="1">
        <v>35.624741397125028</v>
      </c>
      <c r="U5" t="s">
        <v>47</v>
      </c>
      <c r="V5" s="1">
        <v>4.7466486206477496</v>
      </c>
      <c r="W5" t="s">
        <v>48</v>
      </c>
      <c r="X5" t="s">
        <v>49</v>
      </c>
      <c r="Y5" s="1">
        <v>254.77615921928663</v>
      </c>
      <c r="Z5">
        <v>1</v>
      </c>
      <c r="AA5" s="4">
        <v>24</v>
      </c>
      <c r="AB5">
        <v>4447.6097575469412</v>
      </c>
      <c r="AD5"/>
      <c r="AE5"/>
      <c r="AF5" s="5"/>
    </row>
    <row r="6" spans="1:32" x14ac:dyDescent="0.25">
      <c r="A6" t="s">
        <v>34</v>
      </c>
      <c r="B6" t="s">
        <v>50</v>
      </c>
      <c r="C6" s="1">
        <v>4.8054960363458932</v>
      </c>
      <c r="D6" s="3">
        <v>0.26</v>
      </c>
      <c r="E6">
        <v>871</v>
      </c>
      <c r="F6">
        <v>2686.5051515674468</v>
      </c>
      <c r="G6" t="s">
        <v>27</v>
      </c>
      <c r="H6" s="4">
        <v>5</v>
      </c>
      <c r="I6" s="4">
        <v>3</v>
      </c>
      <c r="J6">
        <v>8</v>
      </c>
      <c r="K6" s="4">
        <v>56</v>
      </c>
      <c r="L6">
        <v>8</v>
      </c>
      <c r="M6" t="s">
        <v>37</v>
      </c>
      <c r="N6" s="1">
        <v>3.8905479158706715</v>
      </c>
      <c r="O6" t="s">
        <v>40</v>
      </c>
      <c r="P6" t="s">
        <v>51</v>
      </c>
      <c r="Q6" s="4">
        <v>5</v>
      </c>
      <c r="R6" s="4">
        <v>414</v>
      </c>
      <c r="S6" s="4">
        <v>3</v>
      </c>
      <c r="T6" s="1">
        <v>92.065160598712851</v>
      </c>
      <c r="U6" t="s">
        <v>47</v>
      </c>
      <c r="V6" s="1">
        <v>3.1455795228330019</v>
      </c>
      <c r="W6" t="s">
        <v>41</v>
      </c>
      <c r="X6" t="s">
        <v>49</v>
      </c>
      <c r="Y6" s="1">
        <v>923.44063171192215</v>
      </c>
      <c r="Z6">
        <v>0</v>
      </c>
      <c r="AA6" s="4">
        <v>3</v>
      </c>
      <c r="AB6">
        <v>1302.2699224528628</v>
      </c>
      <c r="AD6"/>
      <c r="AE6"/>
    </row>
    <row r="7" spans="1:32" x14ac:dyDescent="0.25">
      <c r="A7" t="s">
        <v>25</v>
      </c>
      <c r="B7" t="s">
        <v>52</v>
      </c>
      <c r="C7" s="1">
        <v>1.6999760138659377</v>
      </c>
      <c r="D7" s="3">
        <v>0.87</v>
      </c>
      <c r="E7">
        <v>147</v>
      </c>
      <c r="F7">
        <v>2828.3487459757589</v>
      </c>
      <c r="G7" t="s">
        <v>27</v>
      </c>
      <c r="H7" s="4">
        <v>90</v>
      </c>
      <c r="I7" s="4">
        <v>27</v>
      </c>
      <c r="J7">
        <v>27</v>
      </c>
      <c r="K7" s="4">
        <v>66</v>
      </c>
      <c r="L7">
        <v>3</v>
      </c>
      <c r="M7" t="s">
        <v>28</v>
      </c>
      <c r="N7" s="1">
        <v>4.4440988643822932</v>
      </c>
      <c r="O7" t="s">
        <v>53</v>
      </c>
      <c r="P7" t="s">
        <v>54</v>
      </c>
      <c r="Q7" s="4">
        <v>10</v>
      </c>
      <c r="R7" s="4">
        <v>104</v>
      </c>
      <c r="S7" s="4">
        <v>17</v>
      </c>
      <c r="T7" s="1">
        <v>56.766475557431797</v>
      </c>
      <c r="U7" t="s">
        <v>47</v>
      </c>
      <c r="V7" s="1">
        <v>2.7791935115711617</v>
      </c>
      <c r="W7" t="s">
        <v>32</v>
      </c>
      <c r="X7" t="s">
        <v>49</v>
      </c>
      <c r="Y7" s="1">
        <v>235.46123673553751</v>
      </c>
      <c r="Z7">
        <v>0</v>
      </c>
      <c r="AA7" s="4">
        <v>27</v>
      </c>
      <c r="AB7">
        <v>289.03612520340084</v>
      </c>
      <c r="AD7"/>
      <c r="AE7"/>
    </row>
    <row r="8" spans="1:32" x14ac:dyDescent="0.25">
      <c r="A8" t="s">
        <v>34</v>
      </c>
      <c r="B8" t="s">
        <v>55</v>
      </c>
      <c r="C8" s="1">
        <v>4.0783328631079447</v>
      </c>
      <c r="D8" s="3">
        <v>0.48</v>
      </c>
      <c r="E8">
        <v>65</v>
      </c>
      <c r="F8">
        <v>7823.4765595317367</v>
      </c>
      <c r="G8" t="s">
        <v>56</v>
      </c>
      <c r="H8" s="4">
        <v>11</v>
      </c>
      <c r="I8" s="4">
        <v>15</v>
      </c>
      <c r="J8">
        <v>38</v>
      </c>
      <c r="K8" s="4">
        <v>58</v>
      </c>
      <c r="L8">
        <v>8</v>
      </c>
      <c r="M8" t="s">
        <v>44</v>
      </c>
      <c r="N8" s="1">
        <v>3.8807633029520034</v>
      </c>
      <c r="O8" t="s">
        <v>29</v>
      </c>
      <c r="P8" t="s">
        <v>46</v>
      </c>
      <c r="Q8" s="4">
        <v>14</v>
      </c>
      <c r="R8" s="4">
        <v>314</v>
      </c>
      <c r="S8" s="4">
        <v>24</v>
      </c>
      <c r="T8" s="1">
        <v>1.0850685695870688</v>
      </c>
      <c r="U8" t="s">
        <v>31</v>
      </c>
      <c r="V8" s="1">
        <v>1.0009106193041357</v>
      </c>
      <c r="W8" t="s">
        <v>57</v>
      </c>
      <c r="X8" t="s">
        <v>49</v>
      </c>
      <c r="Y8" s="1">
        <v>134.36909686103172</v>
      </c>
      <c r="Z8">
        <v>1</v>
      </c>
      <c r="AA8" s="4">
        <v>32</v>
      </c>
      <c r="AB8">
        <v>314.28593446149864</v>
      </c>
      <c r="AD8"/>
      <c r="AE8"/>
    </row>
    <row r="9" spans="1:32" x14ac:dyDescent="0.25">
      <c r="A9" t="s">
        <v>58</v>
      </c>
      <c r="B9" t="s">
        <v>59</v>
      </c>
      <c r="C9" s="1">
        <v>42.958384382460068</v>
      </c>
      <c r="D9" s="3">
        <v>0.59</v>
      </c>
      <c r="E9">
        <v>426</v>
      </c>
      <c r="F9">
        <v>8496.1038130898378</v>
      </c>
      <c r="G9" t="s">
        <v>36</v>
      </c>
      <c r="H9" s="4">
        <v>93</v>
      </c>
      <c r="I9" s="4">
        <v>17</v>
      </c>
      <c r="J9">
        <v>23</v>
      </c>
      <c r="K9" s="4">
        <v>11</v>
      </c>
      <c r="L9">
        <v>1</v>
      </c>
      <c r="M9" t="s">
        <v>28</v>
      </c>
      <c r="N9" s="1">
        <v>2.3483387844177805</v>
      </c>
      <c r="O9" t="s">
        <v>53</v>
      </c>
      <c r="P9" t="s">
        <v>54</v>
      </c>
      <c r="Q9" s="4">
        <v>22</v>
      </c>
      <c r="R9" s="4">
        <v>564</v>
      </c>
      <c r="S9" s="4">
        <v>1</v>
      </c>
      <c r="T9" s="1">
        <v>99.466108603599125</v>
      </c>
      <c r="U9" t="s">
        <v>47</v>
      </c>
      <c r="V9" s="1">
        <v>0.39817718685065062</v>
      </c>
      <c r="W9" t="s">
        <v>32</v>
      </c>
      <c r="X9" t="s">
        <v>42</v>
      </c>
      <c r="Y9" s="1">
        <v>802.05631181755859</v>
      </c>
      <c r="Z9">
        <v>0</v>
      </c>
      <c r="AA9" s="4">
        <v>17</v>
      </c>
      <c r="AB9">
        <v>224.57193338376695</v>
      </c>
      <c r="AD9"/>
      <c r="AE9"/>
    </row>
    <row r="10" spans="1:32" x14ac:dyDescent="0.25">
      <c r="A10" t="s">
        <v>58</v>
      </c>
      <c r="B10" t="s">
        <v>60</v>
      </c>
      <c r="C10" s="1">
        <v>68.717596748527328</v>
      </c>
      <c r="D10" s="3">
        <v>0.78</v>
      </c>
      <c r="E10">
        <v>150</v>
      </c>
      <c r="F10">
        <v>7517.363210631127</v>
      </c>
      <c r="G10" t="s">
        <v>36</v>
      </c>
      <c r="H10" s="4">
        <v>5</v>
      </c>
      <c r="I10" s="4">
        <v>10</v>
      </c>
      <c r="J10">
        <v>21</v>
      </c>
      <c r="K10" s="4">
        <v>15</v>
      </c>
      <c r="L10">
        <v>7</v>
      </c>
      <c r="M10" t="s">
        <v>44</v>
      </c>
      <c r="N10" s="1">
        <v>3.4047338570830266</v>
      </c>
      <c r="O10" t="s">
        <v>53</v>
      </c>
      <c r="P10" t="s">
        <v>30</v>
      </c>
      <c r="Q10" s="4">
        <v>13</v>
      </c>
      <c r="R10" s="4">
        <v>769</v>
      </c>
      <c r="S10" s="4">
        <v>8</v>
      </c>
      <c r="T10" s="1">
        <v>11.423027139565695</v>
      </c>
      <c r="U10" t="s">
        <v>31</v>
      </c>
      <c r="V10" s="1">
        <v>2.7098626911099615</v>
      </c>
      <c r="W10" t="s">
        <v>57</v>
      </c>
      <c r="X10" t="s">
        <v>33</v>
      </c>
      <c r="Y10" s="1">
        <v>505.55713422546415</v>
      </c>
      <c r="Z10">
        <v>0</v>
      </c>
      <c r="AA10" s="4">
        <v>10</v>
      </c>
      <c r="AB10">
        <v>2083.8844094635606</v>
      </c>
      <c r="AD10"/>
      <c r="AE10"/>
    </row>
    <row r="11" spans="1:32" x14ac:dyDescent="0.25">
      <c r="A11" t="s">
        <v>34</v>
      </c>
      <c r="B11" t="s">
        <v>61</v>
      </c>
      <c r="C11" s="1">
        <v>64.015732941278543</v>
      </c>
      <c r="D11" s="3">
        <v>0.35</v>
      </c>
      <c r="E11">
        <v>980</v>
      </c>
      <c r="F11">
        <v>4971.145987585558</v>
      </c>
      <c r="G11" t="s">
        <v>39</v>
      </c>
      <c r="H11" s="4">
        <v>14</v>
      </c>
      <c r="I11" s="4">
        <v>27</v>
      </c>
      <c r="J11">
        <v>52</v>
      </c>
      <c r="K11" s="4">
        <v>83</v>
      </c>
      <c r="L11">
        <v>1</v>
      </c>
      <c r="M11" t="s">
        <v>37</v>
      </c>
      <c r="N11" s="1">
        <v>7.1666452910482157</v>
      </c>
      <c r="O11" t="s">
        <v>62</v>
      </c>
      <c r="P11" t="s">
        <v>63</v>
      </c>
      <c r="Q11" s="4">
        <v>29</v>
      </c>
      <c r="R11" s="4">
        <v>963</v>
      </c>
      <c r="S11" s="4">
        <v>23</v>
      </c>
      <c r="T11" s="1">
        <v>47.95760163495158</v>
      </c>
      <c r="U11" t="s">
        <v>31</v>
      </c>
      <c r="V11" s="1">
        <v>3.8446144787675851</v>
      </c>
      <c r="W11" t="s">
        <v>48</v>
      </c>
      <c r="X11" t="s">
        <v>33</v>
      </c>
      <c r="Y11" s="1">
        <v>995.92946149864167</v>
      </c>
      <c r="Z11">
        <v>0</v>
      </c>
      <c r="AA11" s="4">
        <v>27</v>
      </c>
      <c r="AB11">
        <v>3702.3637430531844</v>
      </c>
      <c r="AD11"/>
      <c r="AE11"/>
    </row>
    <row r="12" spans="1:32" x14ac:dyDescent="0.25">
      <c r="A12" t="s">
        <v>34</v>
      </c>
      <c r="B12" t="s">
        <v>64</v>
      </c>
      <c r="C12" s="1">
        <v>15.707795681912138</v>
      </c>
      <c r="D12" s="3">
        <v>0.11</v>
      </c>
      <c r="E12">
        <v>996</v>
      </c>
      <c r="F12">
        <v>2330.9658020919492</v>
      </c>
      <c r="G12" t="s">
        <v>27</v>
      </c>
      <c r="H12" s="4">
        <v>51</v>
      </c>
      <c r="I12" s="4">
        <v>13</v>
      </c>
      <c r="J12">
        <v>23</v>
      </c>
      <c r="K12" s="4">
        <v>80</v>
      </c>
      <c r="L12">
        <v>2</v>
      </c>
      <c r="M12" t="s">
        <v>44</v>
      </c>
      <c r="N12" s="1">
        <v>8.6732112112786126</v>
      </c>
      <c r="O12" t="s">
        <v>45</v>
      </c>
      <c r="P12" t="s">
        <v>46</v>
      </c>
      <c r="Q12" s="4">
        <v>18</v>
      </c>
      <c r="R12" s="4">
        <v>830</v>
      </c>
      <c r="S12" s="4">
        <v>5</v>
      </c>
      <c r="T12" s="1">
        <v>96.52735278531091</v>
      </c>
      <c r="U12" t="s">
        <v>65</v>
      </c>
      <c r="V12" s="1">
        <v>1.7273139283559424</v>
      </c>
      <c r="W12" t="s">
        <v>32</v>
      </c>
      <c r="X12" t="s">
        <v>33</v>
      </c>
      <c r="Y12" s="1">
        <v>806.10317770292295</v>
      </c>
      <c r="Z12">
        <v>0</v>
      </c>
      <c r="AA12" s="4">
        <v>13</v>
      </c>
      <c r="AB12">
        <v>1433.6705605354323</v>
      </c>
      <c r="AD12"/>
      <c r="AE12"/>
    </row>
    <row r="13" spans="1:32" x14ac:dyDescent="0.25">
      <c r="A13" t="s">
        <v>34</v>
      </c>
      <c r="B13" t="s">
        <v>66</v>
      </c>
      <c r="C13" s="1">
        <v>90.635459982288666</v>
      </c>
      <c r="D13" s="3">
        <v>0.95</v>
      </c>
      <c r="E13">
        <v>960</v>
      </c>
      <c r="F13">
        <v>6099.944115581452</v>
      </c>
      <c r="G13" t="s">
        <v>36</v>
      </c>
      <c r="H13" s="4">
        <v>46</v>
      </c>
      <c r="I13" s="4">
        <v>23</v>
      </c>
      <c r="J13">
        <v>39</v>
      </c>
      <c r="K13" s="4">
        <v>60</v>
      </c>
      <c r="L13">
        <v>1</v>
      </c>
      <c r="M13" t="s">
        <v>37</v>
      </c>
      <c r="N13" s="1">
        <v>4.5239431243166628</v>
      </c>
      <c r="O13" t="s">
        <v>62</v>
      </c>
      <c r="P13" t="s">
        <v>46</v>
      </c>
      <c r="Q13" s="4">
        <v>28</v>
      </c>
      <c r="R13" s="4">
        <v>362</v>
      </c>
      <c r="S13" s="4">
        <v>11</v>
      </c>
      <c r="T13" s="1">
        <v>27.592363086663696</v>
      </c>
      <c r="U13" t="s">
        <v>31</v>
      </c>
      <c r="V13" s="1">
        <v>2.1169821372994391E-2</v>
      </c>
      <c r="W13" t="s">
        <v>41</v>
      </c>
      <c r="X13" t="s">
        <v>49</v>
      </c>
      <c r="Y13" s="1">
        <v>126.72303340940725</v>
      </c>
      <c r="Z13">
        <v>0</v>
      </c>
      <c r="AA13" s="4">
        <v>23</v>
      </c>
      <c r="AB13">
        <v>7.6634753370239697</v>
      </c>
      <c r="AD13"/>
      <c r="AE13"/>
    </row>
    <row r="14" spans="1:32" x14ac:dyDescent="0.25">
      <c r="A14" t="s">
        <v>25</v>
      </c>
      <c r="B14" t="s">
        <v>67</v>
      </c>
      <c r="C14" s="1">
        <v>71.213389075360084</v>
      </c>
      <c r="D14" s="3">
        <v>0.41</v>
      </c>
      <c r="E14">
        <v>336</v>
      </c>
      <c r="F14">
        <v>2873.7414460214413</v>
      </c>
      <c r="G14" t="s">
        <v>39</v>
      </c>
      <c r="H14" s="4">
        <v>100</v>
      </c>
      <c r="I14" s="4">
        <v>30</v>
      </c>
      <c r="J14">
        <v>6</v>
      </c>
      <c r="K14" s="4">
        <v>85</v>
      </c>
      <c r="L14">
        <v>4</v>
      </c>
      <c r="M14" t="s">
        <v>37</v>
      </c>
      <c r="N14" s="1">
        <v>1.325274010184522</v>
      </c>
      <c r="O14" t="s">
        <v>53</v>
      </c>
      <c r="P14" t="s">
        <v>46</v>
      </c>
      <c r="Q14" s="4">
        <v>3</v>
      </c>
      <c r="R14" s="4">
        <v>563</v>
      </c>
      <c r="S14" s="4">
        <v>3</v>
      </c>
      <c r="T14" s="1">
        <v>32.321286213424031</v>
      </c>
      <c r="U14" t="s">
        <v>47</v>
      </c>
      <c r="V14" s="1">
        <v>2.1612537475559117</v>
      </c>
      <c r="W14" t="s">
        <v>32</v>
      </c>
      <c r="X14" t="s">
        <v>33</v>
      </c>
      <c r="Y14" s="1">
        <v>402.96878907377061</v>
      </c>
      <c r="Z14">
        <v>0</v>
      </c>
      <c r="AA14" s="4">
        <v>30</v>
      </c>
      <c r="AB14">
        <v>1216.7858598739783</v>
      </c>
      <c r="AD14"/>
      <c r="AE14"/>
    </row>
    <row r="15" spans="1:32" x14ac:dyDescent="0.25">
      <c r="A15" t="s">
        <v>34</v>
      </c>
      <c r="B15" t="s">
        <v>68</v>
      </c>
      <c r="C15" s="1">
        <v>16.160393317379977</v>
      </c>
      <c r="D15" s="3">
        <v>0.05</v>
      </c>
      <c r="E15">
        <v>249</v>
      </c>
      <c r="F15">
        <v>4052.7384162378667</v>
      </c>
      <c r="G15" t="s">
        <v>56</v>
      </c>
      <c r="H15" s="4">
        <v>80</v>
      </c>
      <c r="I15" s="4">
        <v>8</v>
      </c>
      <c r="J15">
        <v>33</v>
      </c>
      <c r="K15" s="4">
        <v>48</v>
      </c>
      <c r="L15">
        <v>9</v>
      </c>
      <c r="M15" t="s">
        <v>37</v>
      </c>
      <c r="N15" s="1">
        <v>9.5372830611083383</v>
      </c>
      <c r="O15" t="s">
        <v>45</v>
      </c>
      <c r="P15" t="s">
        <v>54</v>
      </c>
      <c r="Q15" s="4">
        <v>23</v>
      </c>
      <c r="R15" s="4">
        <v>173</v>
      </c>
      <c r="S15" s="4">
        <v>10</v>
      </c>
      <c r="T15" s="1">
        <v>97.82905011017327</v>
      </c>
      <c r="U15" t="s">
        <v>31</v>
      </c>
      <c r="V15" s="1">
        <v>1.6310742300715386</v>
      </c>
      <c r="W15" t="s">
        <v>32</v>
      </c>
      <c r="X15" t="s">
        <v>33</v>
      </c>
      <c r="Y15" s="1">
        <v>547.24100516096848</v>
      </c>
      <c r="Z15">
        <v>1</v>
      </c>
      <c r="AA15" s="4">
        <v>19</v>
      </c>
      <c r="AB15">
        <v>282.17584180237617</v>
      </c>
      <c r="AD15"/>
      <c r="AE15"/>
    </row>
    <row r="16" spans="1:32" x14ac:dyDescent="0.25">
      <c r="A16" t="s">
        <v>34</v>
      </c>
      <c r="B16" t="s">
        <v>69</v>
      </c>
      <c r="C16" s="1">
        <v>99.171328638624189</v>
      </c>
      <c r="D16" s="3">
        <v>0.26</v>
      </c>
      <c r="E16">
        <v>562</v>
      </c>
      <c r="F16">
        <v>8653.5709264698016</v>
      </c>
      <c r="G16" t="s">
        <v>27</v>
      </c>
      <c r="H16" s="4">
        <v>54</v>
      </c>
      <c r="I16" s="4">
        <v>29</v>
      </c>
      <c r="J16">
        <v>39</v>
      </c>
      <c r="K16" s="4">
        <v>78</v>
      </c>
      <c r="L16">
        <v>5</v>
      </c>
      <c r="M16" t="s">
        <v>28</v>
      </c>
      <c r="N16" s="1">
        <v>2.0397701894493316</v>
      </c>
      <c r="O16" t="s">
        <v>40</v>
      </c>
      <c r="P16" t="s">
        <v>46</v>
      </c>
      <c r="Q16" s="4">
        <v>25</v>
      </c>
      <c r="R16" s="4">
        <v>558</v>
      </c>
      <c r="S16" s="4">
        <v>14</v>
      </c>
      <c r="T16" s="1">
        <v>5.7914366298629893</v>
      </c>
      <c r="U16" t="s">
        <v>31</v>
      </c>
      <c r="V16" s="1">
        <v>0.10068285156509371</v>
      </c>
      <c r="W16" t="s">
        <v>41</v>
      </c>
      <c r="X16" t="s">
        <v>33</v>
      </c>
      <c r="Y16" s="1">
        <v>929.23528996088965</v>
      </c>
      <c r="Z16">
        <v>0</v>
      </c>
      <c r="AA16" s="4">
        <v>29</v>
      </c>
      <c r="AB16">
        <v>56.181031173322289</v>
      </c>
      <c r="AD16"/>
      <c r="AE16"/>
    </row>
    <row r="17" spans="1:31" x14ac:dyDescent="0.25">
      <c r="A17" t="s">
        <v>34</v>
      </c>
      <c r="B17" t="s">
        <v>70</v>
      </c>
      <c r="C17" s="1">
        <v>36.98924492862691</v>
      </c>
      <c r="D17" s="3">
        <v>0.94</v>
      </c>
      <c r="E17">
        <v>469</v>
      </c>
      <c r="F17">
        <v>5442.0867853976733</v>
      </c>
      <c r="G17" t="s">
        <v>27</v>
      </c>
      <c r="H17" s="4">
        <v>9</v>
      </c>
      <c r="I17" s="4">
        <v>8</v>
      </c>
      <c r="J17">
        <v>21</v>
      </c>
      <c r="K17" s="4">
        <v>69</v>
      </c>
      <c r="L17">
        <v>7</v>
      </c>
      <c r="M17" t="s">
        <v>28</v>
      </c>
      <c r="N17" s="1">
        <v>2.4220397232752044</v>
      </c>
      <c r="O17" t="s">
        <v>40</v>
      </c>
      <c r="P17" t="s">
        <v>54</v>
      </c>
      <c r="Q17" s="4">
        <v>14</v>
      </c>
      <c r="R17" s="4">
        <v>580</v>
      </c>
      <c r="S17" s="4">
        <v>7</v>
      </c>
      <c r="T17" s="1">
        <v>97.121281751474314</v>
      </c>
      <c r="U17" t="s">
        <v>65</v>
      </c>
      <c r="V17" s="1">
        <v>2.2644057611985491</v>
      </c>
      <c r="W17" t="s">
        <v>57</v>
      </c>
      <c r="X17" t="s">
        <v>33</v>
      </c>
      <c r="Y17" s="1">
        <v>127.86180000162541</v>
      </c>
      <c r="Z17">
        <v>0</v>
      </c>
      <c r="AA17" s="4">
        <v>8</v>
      </c>
      <c r="AB17">
        <v>1313.3553414951584</v>
      </c>
      <c r="AD17"/>
      <c r="AE17"/>
    </row>
    <row r="18" spans="1:31" x14ac:dyDescent="0.25">
      <c r="A18" t="s">
        <v>34</v>
      </c>
      <c r="B18" t="s">
        <v>71</v>
      </c>
      <c r="C18" s="1">
        <v>7.5471721097912718</v>
      </c>
      <c r="D18" s="3">
        <v>0.74</v>
      </c>
      <c r="E18">
        <v>280</v>
      </c>
      <c r="F18">
        <v>6453.7979681762854</v>
      </c>
      <c r="G18" t="s">
        <v>36</v>
      </c>
      <c r="H18" s="4">
        <v>2</v>
      </c>
      <c r="I18" s="4">
        <v>5</v>
      </c>
      <c r="J18">
        <v>24</v>
      </c>
      <c r="K18" s="4">
        <v>78</v>
      </c>
      <c r="L18">
        <v>1</v>
      </c>
      <c r="M18" t="s">
        <v>28</v>
      </c>
      <c r="N18" s="1">
        <v>4.1913245857055017</v>
      </c>
      <c r="O18" t="s">
        <v>40</v>
      </c>
      <c r="P18" t="s">
        <v>54</v>
      </c>
      <c r="Q18" s="4">
        <v>3</v>
      </c>
      <c r="R18" s="4">
        <v>399</v>
      </c>
      <c r="S18" s="4">
        <v>21</v>
      </c>
      <c r="T18" s="1">
        <v>77.106342497850008</v>
      </c>
      <c r="U18" t="s">
        <v>65</v>
      </c>
      <c r="V18" s="1">
        <v>1.0125630892580491</v>
      </c>
      <c r="W18" t="s">
        <v>41</v>
      </c>
      <c r="X18" t="s">
        <v>49</v>
      </c>
      <c r="Y18" s="1">
        <v>865.52577977124031</v>
      </c>
      <c r="Z18">
        <v>1</v>
      </c>
      <c r="AA18" s="4">
        <v>22</v>
      </c>
      <c r="AB18">
        <v>404.01267261396157</v>
      </c>
      <c r="AD18"/>
      <c r="AE18"/>
    </row>
    <row r="19" spans="1:31" x14ac:dyDescent="0.25">
      <c r="A19" t="s">
        <v>58</v>
      </c>
      <c r="B19" t="s">
        <v>72</v>
      </c>
      <c r="C19" s="1">
        <v>81.462534369237019</v>
      </c>
      <c r="D19" s="3">
        <v>0.82</v>
      </c>
      <c r="E19">
        <v>126</v>
      </c>
      <c r="F19">
        <v>2629.3964348452619</v>
      </c>
      <c r="G19" t="s">
        <v>36</v>
      </c>
      <c r="H19" s="4">
        <v>45</v>
      </c>
      <c r="I19" s="4">
        <v>17</v>
      </c>
      <c r="J19">
        <v>23</v>
      </c>
      <c r="K19" s="4">
        <v>85</v>
      </c>
      <c r="L19">
        <v>9</v>
      </c>
      <c r="M19" t="s">
        <v>44</v>
      </c>
      <c r="N19" s="1">
        <v>3.5854189582323421</v>
      </c>
      <c r="O19" t="s">
        <v>40</v>
      </c>
      <c r="P19" t="s">
        <v>63</v>
      </c>
      <c r="Q19" s="4">
        <v>7</v>
      </c>
      <c r="R19" s="4">
        <v>453</v>
      </c>
      <c r="S19" s="4">
        <v>16</v>
      </c>
      <c r="T19" s="1">
        <v>47.679680368355335</v>
      </c>
      <c r="U19" t="s">
        <v>47</v>
      </c>
      <c r="V19" s="1">
        <v>0.10202075491817619</v>
      </c>
      <c r="W19" t="s">
        <v>41</v>
      </c>
      <c r="X19" t="s">
        <v>42</v>
      </c>
      <c r="Y19" s="1">
        <v>670.93439079241034</v>
      </c>
      <c r="Z19">
        <v>0</v>
      </c>
      <c r="AA19" s="4">
        <v>17</v>
      </c>
      <c r="AB19">
        <v>46.215401977933816</v>
      </c>
      <c r="AD19"/>
      <c r="AE19"/>
    </row>
    <row r="20" spans="1:31" x14ac:dyDescent="0.25">
      <c r="A20" t="s">
        <v>25</v>
      </c>
      <c r="B20" t="s">
        <v>73</v>
      </c>
      <c r="C20" s="1">
        <v>36.443627770460935</v>
      </c>
      <c r="D20" s="3">
        <v>0.23</v>
      </c>
      <c r="E20">
        <v>620</v>
      </c>
      <c r="F20">
        <v>9364.6735050761727</v>
      </c>
      <c r="G20" t="s">
        <v>39</v>
      </c>
      <c r="H20" s="4">
        <v>10</v>
      </c>
      <c r="I20" s="4">
        <v>10</v>
      </c>
      <c r="J20">
        <v>35</v>
      </c>
      <c r="K20" s="4">
        <v>46</v>
      </c>
      <c r="L20">
        <v>8</v>
      </c>
      <c r="M20" t="s">
        <v>44</v>
      </c>
      <c r="N20" s="1">
        <v>4.339224714110709</v>
      </c>
      <c r="O20" t="s">
        <v>62</v>
      </c>
      <c r="P20" t="s">
        <v>46</v>
      </c>
      <c r="Q20" s="4">
        <v>18</v>
      </c>
      <c r="R20" s="4">
        <v>374</v>
      </c>
      <c r="S20" s="4">
        <v>17</v>
      </c>
      <c r="T20" s="1">
        <v>27.10798085484392</v>
      </c>
      <c r="U20" t="s">
        <v>31</v>
      </c>
      <c r="V20" s="1">
        <v>2.2319391107292637</v>
      </c>
      <c r="W20" t="s">
        <v>57</v>
      </c>
      <c r="X20" t="s">
        <v>49</v>
      </c>
      <c r="Y20" s="1">
        <v>593.48025872065182</v>
      </c>
      <c r="Z20">
        <v>1</v>
      </c>
      <c r="AA20" s="4">
        <v>25</v>
      </c>
      <c r="AB20">
        <v>834.74522741274461</v>
      </c>
      <c r="AD20"/>
      <c r="AE20"/>
    </row>
    <row r="21" spans="1:31" x14ac:dyDescent="0.25">
      <c r="A21" t="s">
        <v>34</v>
      </c>
      <c r="B21" t="s">
        <v>74</v>
      </c>
      <c r="C21" s="1">
        <v>51.12387008796474</v>
      </c>
      <c r="D21" s="3">
        <v>1</v>
      </c>
      <c r="E21">
        <v>187</v>
      </c>
      <c r="F21">
        <v>2553.4955849912149</v>
      </c>
      <c r="G21" t="s">
        <v>39</v>
      </c>
      <c r="H21" s="4">
        <v>48</v>
      </c>
      <c r="I21" s="4">
        <v>11</v>
      </c>
      <c r="J21">
        <v>36</v>
      </c>
      <c r="K21" s="4">
        <v>94</v>
      </c>
      <c r="L21">
        <v>3</v>
      </c>
      <c r="M21" t="s">
        <v>37</v>
      </c>
      <c r="N21" s="1">
        <v>4.7426358828418769</v>
      </c>
      <c r="O21" t="s">
        <v>53</v>
      </c>
      <c r="P21" t="s">
        <v>63</v>
      </c>
      <c r="Q21" s="4">
        <v>20</v>
      </c>
      <c r="R21" s="4">
        <v>694</v>
      </c>
      <c r="S21" s="4">
        <v>16</v>
      </c>
      <c r="T21" s="1">
        <v>82.373320587990207</v>
      </c>
      <c r="U21" t="s">
        <v>47</v>
      </c>
      <c r="V21" s="1">
        <v>3.6464508654170293</v>
      </c>
      <c r="W21" t="s">
        <v>32</v>
      </c>
      <c r="X21" t="s">
        <v>42</v>
      </c>
      <c r="Y21" s="1">
        <v>477.30763109090344</v>
      </c>
      <c r="Z21">
        <v>1</v>
      </c>
      <c r="AA21" s="4">
        <v>19</v>
      </c>
      <c r="AB21">
        <v>2530.6369005994184</v>
      </c>
      <c r="AD21"/>
      <c r="AE21"/>
    </row>
    <row r="22" spans="1:31" x14ac:dyDescent="0.25">
      <c r="A22" t="s">
        <v>34</v>
      </c>
      <c r="B22" t="s">
        <v>75</v>
      </c>
      <c r="C22" s="1">
        <v>96.341072439963384</v>
      </c>
      <c r="D22" s="3">
        <v>0.22</v>
      </c>
      <c r="E22">
        <v>320</v>
      </c>
      <c r="F22">
        <v>8128.0276968511916</v>
      </c>
      <c r="G22" t="s">
        <v>39</v>
      </c>
      <c r="H22" s="4">
        <v>27</v>
      </c>
      <c r="I22" s="4">
        <v>12</v>
      </c>
      <c r="J22">
        <v>35</v>
      </c>
      <c r="K22" s="4">
        <v>68</v>
      </c>
      <c r="L22">
        <v>6</v>
      </c>
      <c r="M22" t="s">
        <v>37</v>
      </c>
      <c r="N22" s="1">
        <v>8.8783346509268402</v>
      </c>
      <c r="O22" t="s">
        <v>40</v>
      </c>
      <c r="P22" t="s">
        <v>63</v>
      </c>
      <c r="Q22" s="4">
        <v>29</v>
      </c>
      <c r="R22" s="4">
        <v>309</v>
      </c>
      <c r="S22" s="4">
        <v>6</v>
      </c>
      <c r="T22" s="1">
        <v>65.686259608488626</v>
      </c>
      <c r="U22" t="s">
        <v>65</v>
      </c>
      <c r="V22" s="1">
        <v>4.2314165735345393</v>
      </c>
      <c r="W22" t="s">
        <v>41</v>
      </c>
      <c r="X22" t="s">
        <v>33</v>
      </c>
      <c r="Y22" s="1">
        <v>493.87121531620585</v>
      </c>
      <c r="Z22">
        <v>0</v>
      </c>
      <c r="AA22" s="4">
        <v>12</v>
      </c>
      <c r="AB22">
        <v>1307.5077212221727</v>
      </c>
      <c r="AD22"/>
      <c r="AE22"/>
    </row>
    <row r="23" spans="1:31" x14ac:dyDescent="0.25">
      <c r="A23" t="s">
        <v>58</v>
      </c>
      <c r="B23" t="s">
        <v>76</v>
      </c>
      <c r="C23" s="1">
        <v>84.893868984950828</v>
      </c>
      <c r="D23" s="3">
        <v>0.6</v>
      </c>
      <c r="E23">
        <v>601</v>
      </c>
      <c r="F23">
        <v>7087.0526963574366</v>
      </c>
      <c r="G23" t="s">
        <v>39</v>
      </c>
      <c r="H23" s="4">
        <v>69</v>
      </c>
      <c r="I23" s="4">
        <v>25</v>
      </c>
      <c r="J23">
        <v>23</v>
      </c>
      <c r="K23" s="4">
        <v>7</v>
      </c>
      <c r="L23">
        <v>6</v>
      </c>
      <c r="M23" t="s">
        <v>28</v>
      </c>
      <c r="N23" s="1">
        <v>6.0378837692182978</v>
      </c>
      <c r="O23" t="s">
        <v>45</v>
      </c>
      <c r="P23" t="s">
        <v>63</v>
      </c>
      <c r="Q23" s="4">
        <v>19</v>
      </c>
      <c r="R23" s="4">
        <v>791</v>
      </c>
      <c r="S23" s="4">
        <v>4</v>
      </c>
      <c r="T23" s="1">
        <v>61.735728954160933</v>
      </c>
      <c r="U23" t="s">
        <v>31</v>
      </c>
      <c r="V23" s="1">
        <v>1.8607567631014899E-2</v>
      </c>
      <c r="W23" t="s">
        <v>41</v>
      </c>
      <c r="X23" t="s">
        <v>42</v>
      </c>
      <c r="Y23" s="1">
        <v>523.36091472015801</v>
      </c>
      <c r="Z23">
        <v>0</v>
      </c>
      <c r="AA23" s="4">
        <v>25</v>
      </c>
      <c r="AB23">
        <v>14.718585996132784</v>
      </c>
      <c r="AD23"/>
      <c r="AE23"/>
    </row>
    <row r="24" spans="1:31" x14ac:dyDescent="0.25">
      <c r="A24" t="s">
        <v>25</v>
      </c>
      <c r="B24" t="s">
        <v>77</v>
      </c>
      <c r="C24" s="1">
        <v>27.679780886501959</v>
      </c>
      <c r="D24" s="3">
        <v>0.55000000000000004</v>
      </c>
      <c r="E24">
        <v>884</v>
      </c>
      <c r="F24">
        <v>2390.8078665561734</v>
      </c>
      <c r="G24" t="s">
        <v>39</v>
      </c>
      <c r="H24" s="4">
        <v>71</v>
      </c>
      <c r="I24" s="4">
        <v>1</v>
      </c>
      <c r="J24">
        <v>50</v>
      </c>
      <c r="K24" s="4">
        <v>63</v>
      </c>
      <c r="L24">
        <v>10</v>
      </c>
      <c r="M24" t="s">
        <v>37</v>
      </c>
      <c r="N24" s="1">
        <v>9.5676489209230393</v>
      </c>
      <c r="O24" t="s">
        <v>53</v>
      </c>
      <c r="P24" t="s">
        <v>46</v>
      </c>
      <c r="Q24" s="4">
        <v>22</v>
      </c>
      <c r="R24" s="4">
        <v>780</v>
      </c>
      <c r="S24" s="4">
        <v>28</v>
      </c>
      <c r="T24" s="1">
        <v>50.120839612977349</v>
      </c>
      <c r="U24" t="s">
        <v>47</v>
      </c>
      <c r="V24" s="1">
        <v>2.5912754732111161</v>
      </c>
      <c r="W24" t="s">
        <v>48</v>
      </c>
      <c r="X24" t="s">
        <v>42</v>
      </c>
      <c r="Y24" s="1">
        <v>205.57199582694707</v>
      </c>
      <c r="Z24">
        <v>1</v>
      </c>
      <c r="AA24" s="4">
        <v>38</v>
      </c>
      <c r="AB24">
        <v>2021.1948691046705</v>
      </c>
      <c r="AD24"/>
      <c r="AE24"/>
    </row>
    <row r="25" spans="1:31" x14ac:dyDescent="0.25">
      <c r="A25" t="s">
        <v>58</v>
      </c>
      <c r="B25" t="s">
        <v>78</v>
      </c>
      <c r="C25" s="1">
        <v>4.3243411858641636</v>
      </c>
      <c r="D25" s="3">
        <v>0.3</v>
      </c>
      <c r="E25">
        <v>391</v>
      </c>
      <c r="F25">
        <v>8858.367571011484</v>
      </c>
      <c r="G25" t="s">
        <v>39</v>
      </c>
      <c r="H25" s="4">
        <v>84</v>
      </c>
      <c r="I25" s="4">
        <v>5</v>
      </c>
      <c r="J25">
        <v>40</v>
      </c>
      <c r="K25" s="4">
        <v>29</v>
      </c>
      <c r="L25">
        <v>7</v>
      </c>
      <c r="M25" t="s">
        <v>37</v>
      </c>
      <c r="N25" s="1">
        <v>2.924857601145554</v>
      </c>
      <c r="O25" t="s">
        <v>45</v>
      </c>
      <c r="P25" t="s">
        <v>46</v>
      </c>
      <c r="Q25" s="4">
        <v>11</v>
      </c>
      <c r="R25" s="4">
        <v>568</v>
      </c>
      <c r="S25" s="4">
        <v>29</v>
      </c>
      <c r="T25" s="1">
        <v>98.609957242703871</v>
      </c>
      <c r="U25" t="s">
        <v>31</v>
      </c>
      <c r="V25" s="1">
        <v>1.3422915627227339</v>
      </c>
      <c r="W25" t="s">
        <v>48</v>
      </c>
      <c r="X25" t="s">
        <v>49</v>
      </c>
      <c r="Y25" s="1">
        <v>196.32944611241268</v>
      </c>
      <c r="Z25">
        <v>1</v>
      </c>
      <c r="AA25" s="4">
        <v>36</v>
      </c>
      <c r="AB25">
        <v>762.42160762651281</v>
      </c>
      <c r="AD25"/>
      <c r="AE25"/>
    </row>
    <row r="26" spans="1:31" x14ac:dyDescent="0.25">
      <c r="A26" t="s">
        <v>25</v>
      </c>
      <c r="B26" t="s">
        <v>79</v>
      </c>
      <c r="C26" s="1">
        <v>4.1563083593111081</v>
      </c>
      <c r="D26" s="3">
        <v>0.32</v>
      </c>
      <c r="E26">
        <v>209</v>
      </c>
      <c r="F26">
        <v>9049.0778609398967</v>
      </c>
      <c r="G26" t="s">
        <v>56</v>
      </c>
      <c r="H26" s="4">
        <v>4</v>
      </c>
      <c r="I26" s="4">
        <v>26</v>
      </c>
      <c r="J26">
        <v>31</v>
      </c>
      <c r="K26" s="4">
        <v>2</v>
      </c>
      <c r="L26">
        <v>8</v>
      </c>
      <c r="M26" t="s">
        <v>44</v>
      </c>
      <c r="N26" s="1">
        <v>9.7412916892843686</v>
      </c>
      <c r="O26" t="s">
        <v>62</v>
      </c>
      <c r="P26" t="s">
        <v>54</v>
      </c>
      <c r="Q26" s="4">
        <v>28</v>
      </c>
      <c r="R26" s="4">
        <v>447</v>
      </c>
      <c r="S26" s="4">
        <v>3</v>
      </c>
      <c r="T26" s="1">
        <v>40.382359702924816</v>
      </c>
      <c r="U26" t="s">
        <v>31</v>
      </c>
      <c r="V26" s="1">
        <v>3.691310292628728</v>
      </c>
      <c r="W26" t="s">
        <v>41</v>
      </c>
      <c r="X26" t="s">
        <v>49</v>
      </c>
      <c r="Y26" s="1">
        <v>758.72477260293829</v>
      </c>
      <c r="Z26">
        <v>0</v>
      </c>
      <c r="AA26" s="4">
        <v>26</v>
      </c>
      <c r="AB26">
        <v>1650.0157008050414</v>
      </c>
      <c r="AD26"/>
      <c r="AE26"/>
    </row>
    <row r="27" spans="1:31" x14ac:dyDescent="0.25">
      <c r="A27" t="s">
        <v>25</v>
      </c>
      <c r="B27" t="s">
        <v>80</v>
      </c>
      <c r="C27" s="1">
        <v>39.629343985092625</v>
      </c>
      <c r="D27" s="3">
        <v>0.73</v>
      </c>
      <c r="E27">
        <v>142</v>
      </c>
      <c r="F27">
        <v>2174.777054350654</v>
      </c>
      <c r="G27" t="s">
        <v>56</v>
      </c>
      <c r="H27" s="4">
        <v>82</v>
      </c>
      <c r="I27" s="4">
        <v>11</v>
      </c>
      <c r="J27">
        <v>42</v>
      </c>
      <c r="K27" s="4">
        <v>52</v>
      </c>
      <c r="L27">
        <v>3</v>
      </c>
      <c r="M27" t="s">
        <v>44</v>
      </c>
      <c r="N27" s="1">
        <v>2.2310736812817278</v>
      </c>
      <c r="O27" t="s">
        <v>53</v>
      </c>
      <c r="P27" t="s">
        <v>46</v>
      </c>
      <c r="Q27" s="4">
        <v>19</v>
      </c>
      <c r="R27" s="4">
        <v>934</v>
      </c>
      <c r="S27" s="4">
        <v>23</v>
      </c>
      <c r="T27" s="1">
        <v>78.280383118415386</v>
      </c>
      <c r="U27" t="s">
        <v>31</v>
      </c>
      <c r="V27" s="1">
        <v>3.7972312171141831</v>
      </c>
      <c r="W27" t="s">
        <v>32</v>
      </c>
      <c r="X27" t="s">
        <v>33</v>
      </c>
      <c r="Y27" s="1">
        <v>458.53594573920907</v>
      </c>
      <c r="Z27">
        <v>1</v>
      </c>
      <c r="AA27" s="4">
        <v>26</v>
      </c>
      <c r="AB27">
        <v>3546.6139567846471</v>
      </c>
      <c r="AD27"/>
      <c r="AE27"/>
    </row>
    <row r="28" spans="1:31" x14ac:dyDescent="0.25">
      <c r="A28" t="s">
        <v>25</v>
      </c>
      <c r="B28" t="s">
        <v>81</v>
      </c>
      <c r="C28" s="1">
        <v>97.44694661789282</v>
      </c>
      <c r="D28" s="3">
        <v>0.09</v>
      </c>
      <c r="E28">
        <v>353</v>
      </c>
      <c r="F28">
        <v>3716.4933258940368</v>
      </c>
      <c r="G28" t="s">
        <v>56</v>
      </c>
      <c r="H28" s="4">
        <v>59</v>
      </c>
      <c r="I28" s="4">
        <v>16</v>
      </c>
      <c r="J28">
        <v>30</v>
      </c>
      <c r="K28" s="4">
        <v>48</v>
      </c>
      <c r="L28">
        <v>4</v>
      </c>
      <c r="M28" t="s">
        <v>28</v>
      </c>
      <c r="N28" s="1">
        <v>6.5075486210785511</v>
      </c>
      <c r="O28" t="s">
        <v>62</v>
      </c>
      <c r="P28" t="s">
        <v>54</v>
      </c>
      <c r="Q28" s="4">
        <v>26</v>
      </c>
      <c r="R28" s="4">
        <v>171</v>
      </c>
      <c r="S28" s="4">
        <v>4</v>
      </c>
      <c r="T28" s="1">
        <v>15.972229757181761</v>
      </c>
      <c r="U28" t="s">
        <v>65</v>
      </c>
      <c r="V28" s="1">
        <v>2.1193197367249228</v>
      </c>
      <c r="W28" t="s">
        <v>48</v>
      </c>
      <c r="X28" t="s">
        <v>49</v>
      </c>
      <c r="Y28" s="1">
        <v>617.8669164583772</v>
      </c>
      <c r="Z28">
        <v>0</v>
      </c>
      <c r="AA28" s="4">
        <v>16</v>
      </c>
      <c r="AB28">
        <v>362.40367497996181</v>
      </c>
      <c r="AD28"/>
      <c r="AE28"/>
    </row>
    <row r="29" spans="1:31" x14ac:dyDescent="0.25">
      <c r="A29" t="s">
        <v>58</v>
      </c>
      <c r="B29" t="s">
        <v>82</v>
      </c>
      <c r="C29" s="1">
        <v>92.557360812402024</v>
      </c>
      <c r="D29" s="3">
        <v>0.42</v>
      </c>
      <c r="E29">
        <v>352</v>
      </c>
      <c r="F29">
        <v>2686.4572235759833</v>
      </c>
      <c r="G29" t="s">
        <v>39</v>
      </c>
      <c r="H29" s="4">
        <v>47</v>
      </c>
      <c r="I29" s="4">
        <v>9</v>
      </c>
      <c r="J29">
        <v>29</v>
      </c>
      <c r="K29" s="4">
        <v>62</v>
      </c>
      <c r="L29">
        <v>8</v>
      </c>
      <c r="M29" t="s">
        <v>44</v>
      </c>
      <c r="N29" s="1">
        <v>7.406750952998074</v>
      </c>
      <c r="O29" t="s">
        <v>45</v>
      </c>
      <c r="P29" t="s">
        <v>30</v>
      </c>
      <c r="Q29" s="4">
        <v>25</v>
      </c>
      <c r="R29" s="4">
        <v>291</v>
      </c>
      <c r="S29" s="4">
        <v>4</v>
      </c>
      <c r="T29" s="1">
        <v>10.528245070042162</v>
      </c>
      <c r="U29" t="s">
        <v>47</v>
      </c>
      <c r="V29" s="1">
        <v>2.8646678378833732</v>
      </c>
      <c r="W29" t="s">
        <v>57</v>
      </c>
      <c r="X29" t="s">
        <v>33</v>
      </c>
      <c r="Y29" s="1">
        <v>762.45918215568372</v>
      </c>
      <c r="Z29">
        <v>0</v>
      </c>
      <c r="AA29" s="4">
        <v>9</v>
      </c>
      <c r="AB29">
        <v>833.61834082406165</v>
      </c>
      <c r="AD29"/>
      <c r="AE29"/>
    </row>
    <row r="30" spans="1:31" x14ac:dyDescent="0.25">
      <c r="A30" t="s">
        <v>58</v>
      </c>
      <c r="B30" t="s">
        <v>83</v>
      </c>
      <c r="C30" s="1">
        <v>2.3972747055971411</v>
      </c>
      <c r="D30" s="3">
        <v>0.12</v>
      </c>
      <c r="E30">
        <v>394</v>
      </c>
      <c r="F30">
        <v>6117.3246150839923</v>
      </c>
      <c r="G30" t="s">
        <v>36</v>
      </c>
      <c r="H30" s="4">
        <v>48</v>
      </c>
      <c r="I30" s="4">
        <v>15</v>
      </c>
      <c r="J30">
        <v>20</v>
      </c>
      <c r="K30" s="4">
        <v>24</v>
      </c>
      <c r="L30">
        <v>4</v>
      </c>
      <c r="M30" t="s">
        <v>28</v>
      </c>
      <c r="N30" s="1">
        <v>9.898140508069222</v>
      </c>
      <c r="O30" t="s">
        <v>40</v>
      </c>
      <c r="P30" t="s">
        <v>30</v>
      </c>
      <c r="Q30" s="4">
        <v>13</v>
      </c>
      <c r="R30" s="4">
        <v>171</v>
      </c>
      <c r="S30" s="4">
        <v>7</v>
      </c>
      <c r="T30" s="1">
        <v>59.429381810691567</v>
      </c>
      <c r="U30" t="s">
        <v>47</v>
      </c>
      <c r="V30" s="1">
        <v>0.81575707929567198</v>
      </c>
      <c r="W30" t="s">
        <v>41</v>
      </c>
      <c r="X30" t="s">
        <v>49</v>
      </c>
      <c r="Y30" s="1">
        <v>123.43702751182708</v>
      </c>
      <c r="Z30">
        <v>0</v>
      </c>
      <c r="AA30" s="4">
        <v>15</v>
      </c>
      <c r="AB30">
        <v>139.49446055955991</v>
      </c>
      <c r="AD30"/>
      <c r="AE30"/>
    </row>
    <row r="31" spans="1:31" x14ac:dyDescent="0.25">
      <c r="A31" t="s">
        <v>58</v>
      </c>
      <c r="B31" t="s">
        <v>84</v>
      </c>
      <c r="C31" s="1">
        <v>63.447559185207332</v>
      </c>
      <c r="D31" s="3">
        <v>0.03</v>
      </c>
      <c r="E31">
        <v>253</v>
      </c>
      <c r="F31">
        <v>8318.9031946171781</v>
      </c>
      <c r="G31" t="s">
        <v>36</v>
      </c>
      <c r="H31" s="4">
        <v>45</v>
      </c>
      <c r="I31" s="4">
        <v>5</v>
      </c>
      <c r="J31">
        <v>23</v>
      </c>
      <c r="K31" s="4">
        <v>67</v>
      </c>
      <c r="L31">
        <v>7</v>
      </c>
      <c r="M31" t="s">
        <v>28</v>
      </c>
      <c r="N31" s="1">
        <v>8.1009731453970311</v>
      </c>
      <c r="O31" t="s">
        <v>40</v>
      </c>
      <c r="P31" t="s">
        <v>46</v>
      </c>
      <c r="Q31" s="4">
        <v>16</v>
      </c>
      <c r="R31" s="4">
        <v>329</v>
      </c>
      <c r="S31" s="4">
        <v>7</v>
      </c>
      <c r="T31" s="1">
        <v>39.292875586065747</v>
      </c>
      <c r="U31" t="s">
        <v>65</v>
      </c>
      <c r="V31" s="1">
        <v>3.8780989365884881</v>
      </c>
      <c r="W31" t="s">
        <v>32</v>
      </c>
      <c r="X31" t="s">
        <v>33</v>
      </c>
      <c r="Y31" s="1">
        <v>764.93537594070813</v>
      </c>
      <c r="Z31">
        <v>1</v>
      </c>
      <c r="AA31" s="4">
        <v>14</v>
      </c>
      <c r="AB31">
        <v>1275.8945501376127</v>
      </c>
      <c r="AD31"/>
      <c r="AE31"/>
    </row>
    <row r="32" spans="1:31" x14ac:dyDescent="0.25">
      <c r="A32" t="s">
        <v>25</v>
      </c>
      <c r="B32" t="s">
        <v>85</v>
      </c>
      <c r="C32" s="1">
        <v>8.0228592105263932</v>
      </c>
      <c r="D32" s="3">
        <v>0.1</v>
      </c>
      <c r="E32">
        <v>327</v>
      </c>
      <c r="F32">
        <v>2766.3423668660889</v>
      </c>
      <c r="G32" t="s">
        <v>56</v>
      </c>
      <c r="H32" s="4">
        <v>60</v>
      </c>
      <c r="I32" s="4">
        <v>26</v>
      </c>
      <c r="J32">
        <v>57</v>
      </c>
      <c r="K32" s="4">
        <v>35</v>
      </c>
      <c r="L32">
        <v>7</v>
      </c>
      <c r="M32" t="s">
        <v>28</v>
      </c>
      <c r="N32" s="1">
        <v>8.9545283153180151</v>
      </c>
      <c r="O32" t="s">
        <v>53</v>
      </c>
      <c r="P32" t="s">
        <v>46</v>
      </c>
      <c r="Q32" s="4">
        <v>27</v>
      </c>
      <c r="R32" s="4">
        <v>806</v>
      </c>
      <c r="S32" s="4">
        <v>30</v>
      </c>
      <c r="T32" s="1">
        <v>51.634893400109334</v>
      </c>
      <c r="U32" t="s">
        <v>31</v>
      </c>
      <c r="V32" s="1">
        <v>0.96539470535239313</v>
      </c>
      <c r="W32" t="s">
        <v>32</v>
      </c>
      <c r="X32" t="s">
        <v>42</v>
      </c>
      <c r="Y32" s="1">
        <v>880.08098824716103</v>
      </c>
      <c r="Z32">
        <v>1</v>
      </c>
      <c r="AA32" s="4">
        <v>37</v>
      </c>
      <c r="AB32">
        <v>778.10813251402885</v>
      </c>
      <c r="AD32"/>
      <c r="AE32"/>
    </row>
    <row r="33" spans="1:31" x14ac:dyDescent="0.25">
      <c r="A33" t="s">
        <v>34</v>
      </c>
      <c r="B33" t="s">
        <v>86</v>
      </c>
      <c r="C33" s="1">
        <v>50.847393051718697</v>
      </c>
      <c r="D33" s="3">
        <v>0.28000000000000003</v>
      </c>
      <c r="E33">
        <v>168</v>
      </c>
      <c r="F33">
        <v>9655.1351027193978</v>
      </c>
      <c r="G33" t="s">
        <v>56</v>
      </c>
      <c r="H33" s="4">
        <v>6</v>
      </c>
      <c r="I33" s="4">
        <v>17</v>
      </c>
      <c r="J33">
        <v>32</v>
      </c>
      <c r="K33" s="4">
        <v>44</v>
      </c>
      <c r="L33">
        <v>4</v>
      </c>
      <c r="M33" t="s">
        <v>28</v>
      </c>
      <c r="N33" s="1">
        <v>2.6796609649814065</v>
      </c>
      <c r="O33" t="s">
        <v>29</v>
      </c>
      <c r="P33" t="s">
        <v>63</v>
      </c>
      <c r="Q33" s="4">
        <v>24</v>
      </c>
      <c r="R33" s="4">
        <v>461</v>
      </c>
      <c r="S33" s="4">
        <v>8</v>
      </c>
      <c r="T33" s="1">
        <v>60.25114566159808</v>
      </c>
      <c r="U33" t="s">
        <v>31</v>
      </c>
      <c r="V33" s="1">
        <v>2.9890000066550746</v>
      </c>
      <c r="W33" t="s">
        <v>48</v>
      </c>
      <c r="X33" t="s">
        <v>42</v>
      </c>
      <c r="Y33" s="1">
        <v>609.37920661842668</v>
      </c>
      <c r="Z33">
        <v>0</v>
      </c>
      <c r="AA33" s="4">
        <v>17</v>
      </c>
      <c r="AB33">
        <v>1377.9290030679895</v>
      </c>
      <c r="AD33"/>
      <c r="AE33"/>
    </row>
    <row r="34" spans="1:31" x14ac:dyDescent="0.25">
      <c r="A34" t="s">
        <v>34</v>
      </c>
      <c r="B34" t="s">
        <v>87</v>
      </c>
      <c r="C34" s="1">
        <v>79.209936015656723</v>
      </c>
      <c r="D34" s="3">
        <v>0.43</v>
      </c>
      <c r="E34">
        <v>781</v>
      </c>
      <c r="F34">
        <v>9571.5504873278187</v>
      </c>
      <c r="G34" t="s">
        <v>39</v>
      </c>
      <c r="H34" s="4">
        <v>89</v>
      </c>
      <c r="I34" s="4">
        <v>13</v>
      </c>
      <c r="J34">
        <v>37</v>
      </c>
      <c r="K34" s="4">
        <v>64</v>
      </c>
      <c r="L34">
        <v>4</v>
      </c>
      <c r="M34" t="s">
        <v>44</v>
      </c>
      <c r="N34" s="1">
        <v>6.5991049012385838</v>
      </c>
      <c r="O34" t="s">
        <v>29</v>
      </c>
      <c r="P34" t="s">
        <v>46</v>
      </c>
      <c r="Q34" s="4">
        <v>30</v>
      </c>
      <c r="R34" s="4">
        <v>737</v>
      </c>
      <c r="S34" s="4">
        <v>7</v>
      </c>
      <c r="T34" s="1">
        <v>29.692467153749774</v>
      </c>
      <c r="U34" t="s">
        <v>65</v>
      </c>
      <c r="V34" s="1">
        <v>1.9460361193861131</v>
      </c>
      <c r="W34" t="s">
        <v>32</v>
      </c>
      <c r="X34" t="s">
        <v>49</v>
      </c>
      <c r="Y34" s="1">
        <v>761.17390951487755</v>
      </c>
      <c r="Z34">
        <v>0</v>
      </c>
      <c r="AA34" s="4">
        <v>13</v>
      </c>
      <c r="AB34">
        <v>1434.2286199875653</v>
      </c>
      <c r="AD34"/>
      <c r="AE34"/>
    </row>
    <row r="35" spans="1:31" x14ac:dyDescent="0.25">
      <c r="A35" t="s">
        <v>58</v>
      </c>
      <c r="B35" t="s">
        <v>88</v>
      </c>
      <c r="C35" s="1">
        <v>64.795435000155607</v>
      </c>
      <c r="D35" s="3">
        <v>0.63</v>
      </c>
      <c r="E35">
        <v>616</v>
      </c>
      <c r="F35">
        <v>5149.9983504080365</v>
      </c>
      <c r="G35" t="s">
        <v>27</v>
      </c>
      <c r="H35" s="4">
        <v>4</v>
      </c>
      <c r="I35" s="4">
        <v>17</v>
      </c>
      <c r="J35">
        <v>24</v>
      </c>
      <c r="K35" s="4">
        <v>95</v>
      </c>
      <c r="L35">
        <v>9</v>
      </c>
      <c r="M35" t="s">
        <v>44</v>
      </c>
      <c r="N35" s="1">
        <v>4.85827050343664</v>
      </c>
      <c r="O35" t="s">
        <v>45</v>
      </c>
      <c r="P35" t="s">
        <v>63</v>
      </c>
      <c r="Q35" s="4">
        <v>1</v>
      </c>
      <c r="R35" s="4">
        <v>251</v>
      </c>
      <c r="S35" s="4">
        <v>23</v>
      </c>
      <c r="T35" s="1">
        <v>23.853427512896133</v>
      </c>
      <c r="U35" t="s">
        <v>47</v>
      </c>
      <c r="V35" s="1">
        <v>3.5410460122509231</v>
      </c>
      <c r="W35" t="s">
        <v>57</v>
      </c>
      <c r="X35" t="s">
        <v>49</v>
      </c>
      <c r="Y35" s="1">
        <v>371.25529551987103</v>
      </c>
      <c r="Z35">
        <v>1</v>
      </c>
      <c r="AA35" s="4">
        <v>32</v>
      </c>
      <c r="AB35">
        <v>888.8025490749817</v>
      </c>
      <c r="AD35"/>
      <c r="AE35"/>
    </row>
    <row r="36" spans="1:31" x14ac:dyDescent="0.25">
      <c r="A36" t="s">
        <v>34</v>
      </c>
      <c r="B36" t="s">
        <v>89</v>
      </c>
      <c r="C36" s="1">
        <v>37.467592329842461</v>
      </c>
      <c r="D36" s="3">
        <v>0.96</v>
      </c>
      <c r="E36">
        <v>602</v>
      </c>
      <c r="F36">
        <v>9061.7108955077238</v>
      </c>
      <c r="G36" t="s">
        <v>39</v>
      </c>
      <c r="H36" s="4">
        <v>1</v>
      </c>
      <c r="I36" s="4">
        <v>26</v>
      </c>
      <c r="J36">
        <v>14</v>
      </c>
      <c r="K36" s="4">
        <v>21</v>
      </c>
      <c r="L36">
        <v>7</v>
      </c>
      <c r="M36" t="s">
        <v>37</v>
      </c>
      <c r="N36" s="1">
        <v>1.0194875708221189</v>
      </c>
      <c r="O36" t="s">
        <v>40</v>
      </c>
      <c r="P36" t="s">
        <v>63</v>
      </c>
      <c r="Q36" s="4">
        <v>4</v>
      </c>
      <c r="R36" s="4">
        <v>452</v>
      </c>
      <c r="S36" s="4">
        <v>10</v>
      </c>
      <c r="T36" s="1">
        <v>10.754272815029333</v>
      </c>
      <c r="U36" t="s">
        <v>65</v>
      </c>
      <c r="V36" s="1">
        <v>0.64660455937205485</v>
      </c>
      <c r="W36" t="s">
        <v>32</v>
      </c>
      <c r="X36" t="s">
        <v>33</v>
      </c>
      <c r="Y36" s="1">
        <v>510.3580004335235</v>
      </c>
      <c r="Z36">
        <v>0</v>
      </c>
      <c r="AA36" s="4">
        <v>26</v>
      </c>
      <c r="AB36">
        <v>292.26526083616881</v>
      </c>
      <c r="AD36"/>
      <c r="AE36"/>
    </row>
    <row r="37" spans="1:31" x14ac:dyDescent="0.25">
      <c r="A37" t="s">
        <v>58</v>
      </c>
      <c r="B37" t="s">
        <v>90</v>
      </c>
      <c r="C37" s="1">
        <v>84.957786816350435</v>
      </c>
      <c r="D37" s="3">
        <v>0.11</v>
      </c>
      <c r="E37">
        <v>449</v>
      </c>
      <c r="F37">
        <v>6541.3293448024651</v>
      </c>
      <c r="G37" t="s">
        <v>36</v>
      </c>
      <c r="H37" s="4">
        <v>42</v>
      </c>
      <c r="I37" s="4">
        <v>27</v>
      </c>
      <c r="J37">
        <v>5</v>
      </c>
      <c r="K37" s="4">
        <v>85</v>
      </c>
      <c r="L37">
        <v>8</v>
      </c>
      <c r="M37" t="s">
        <v>44</v>
      </c>
      <c r="N37" s="1">
        <v>5.2881899903274094</v>
      </c>
      <c r="O37" t="s">
        <v>40</v>
      </c>
      <c r="P37" t="s">
        <v>51</v>
      </c>
      <c r="Q37" s="4">
        <v>3</v>
      </c>
      <c r="R37" s="4">
        <v>367</v>
      </c>
      <c r="S37" s="4">
        <v>2</v>
      </c>
      <c r="T37" s="1">
        <v>58.004787044743765</v>
      </c>
      <c r="U37" t="s">
        <v>65</v>
      </c>
      <c r="V37" s="1">
        <v>0.54115409806058112</v>
      </c>
      <c r="W37" t="s">
        <v>57</v>
      </c>
      <c r="X37" t="s">
        <v>42</v>
      </c>
      <c r="Y37" s="1">
        <v>553.42047123035582</v>
      </c>
      <c r="Z37">
        <v>0</v>
      </c>
      <c r="AA37" s="4">
        <v>27</v>
      </c>
      <c r="AB37">
        <v>198.60355398823327</v>
      </c>
      <c r="AD37"/>
      <c r="AE37"/>
    </row>
    <row r="38" spans="1:31" x14ac:dyDescent="0.25">
      <c r="A38" t="s">
        <v>34</v>
      </c>
      <c r="B38" t="s">
        <v>91</v>
      </c>
      <c r="C38" s="1">
        <v>9.8130025787540518</v>
      </c>
      <c r="D38" s="3">
        <v>0.34</v>
      </c>
      <c r="E38">
        <v>963</v>
      </c>
      <c r="F38">
        <v>7573.4024578487333</v>
      </c>
      <c r="G38" t="s">
        <v>36</v>
      </c>
      <c r="H38" s="4">
        <v>18</v>
      </c>
      <c r="I38" s="4">
        <v>23</v>
      </c>
      <c r="J38">
        <v>45</v>
      </c>
      <c r="K38" s="4">
        <v>28</v>
      </c>
      <c r="L38">
        <v>3</v>
      </c>
      <c r="M38" t="s">
        <v>28</v>
      </c>
      <c r="N38" s="1">
        <v>2.107951267159081</v>
      </c>
      <c r="O38" t="s">
        <v>62</v>
      </c>
      <c r="P38" t="s">
        <v>51</v>
      </c>
      <c r="Q38" s="4">
        <v>26</v>
      </c>
      <c r="R38" s="4">
        <v>671</v>
      </c>
      <c r="S38" s="4">
        <v>19</v>
      </c>
      <c r="T38" s="1">
        <v>45.531364237162144</v>
      </c>
      <c r="U38" t="s">
        <v>47</v>
      </c>
      <c r="V38" s="1">
        <v>3.8055333792433537</v>
      </c>
      <c r="W38" t="s">
        <v>41</v>
      </c>
      <c r="X38" t="s">
        <v>42</v>
      </c>
      <c r="Y38" s="1">
        <v>403.8089742481805</v>
      </c>
      <c r="Z38">
        <v>0</v>
      </c>
      <c r="AA38" s="4">
        <v>23</v>
      </c>
      <c r="AB38">
        <v>2553.5128974722902</v>
      </c>
      <c r="AD38"/>
      <c r="AE38"/>
    </row>
    <row r="39" spans="1:31" x14ac:dyDescent="0.25">
      <c r="A39" t="s">
        <v>34</v>
      </c>
      <c r="B39" t="s">
        <v>92</v>
      </c>
      <c r="C39" s="1">
        <v>23.399844752614349</v>
      </c>
      <c r="D39" s="3">
        <v>0.05</v>
      </c>
      <c r="E39">
        <v>963</v>
      </c>
      <c r="F39">
        <v>2438.3399304700288</v>
      </c>
      <c r="G39" t="s">
        <v>36</v>
      </c>
      <c r="H39" s="4">
        <v>25</v>
      </c>
      <c r="I39" s="4">
        <v>8</v>
      </c>
      <c r="J39">
        <v>39</v>
      </c>
      <c r="K39" s="4">
        <v>21</v>
      </c>
      <c r="L39">
        <v>9</v>
      </c>
      <c r="M39" t="s">
        <v>37</v>
      </c>
      <c r="N39" s="1">
        <v>1.5326552735904306</v>
      </c>
      <c r="O39" t="s">
        <v>29</v>
      </c>
      <c r="P39" t="s">
        <v>46</v>
      </c>
      <c r="Q39" s="4">
        <v>24</v>
      </c>
      <c r="R39" s="4">
        <v>867</v>
      </c>
      <c r="S39" s="4">
        <v>15</v>
      </c>
      <c r="T39" s="1">
        <v>34.343277465075381</v>
      </c>
      <c r="U39" t="s">
        <v>31</v>
      </c>
      <c r="V39" s="1">
        <v>2.6102880848481131</v>
      </c>
      <c r="W39" t="s">
        <v>57</v>
      </c>
      <c r="X39" t="s">
        <v>49</v>
      </c>
      <c r="Y39" s="1">
        <v>183.93296804359437</v>
      </c>
      <c r="Z39">
        <v>1</v>
      </c>
      <c r="AA39" s="4">
        <v>24</v>
      </c>
      <c r="AB39">
        <v>2263.1197695633141</v>
      </c>
      <c r="AD39"/>
      <c r="AE39"/>
    </row>
    <row r="40" spans="1:31" x14ac:dyDescent="0.25">
      <c r="A40" t="s">
        <v>58</v>
      </c>
      <c r="B40" t="s">
        <v>93</v>
      </c>
      <c r="C40" s="1">
        <v>52.075930682707799</v>
      </c>
      <c r="D40" s="3">
        <v>0.75</v>
      </c>
      <c r="E40">
        <v>705</v>
      </c>
      <c r="F40">
        <v>9692.3180402184316</v>
      </c>
      <c r="G40" t="s">
        <v>27</v>
      </c>
      <c r="H40" s="4">
        <v>69</v>
      </c>
      <c r="I40" s="4">
        <v>1</v>
      </c>
      <c r="J40">
        <v>22</v>
      </c>
      <c r="K40" s="4">
        <v>88</v>
      </c>
      <c r="L40">
        <v>5</v>
      </c>
      <c r="M40" t="s">
        <v>28</v>
      </c>
      <c r="N40" s="1">
        <v>9.2359314372492278</v>
      </c>
      <c r="O40" t="s">
        <v>45</v>
      </c>
      <c r="P40" t="s">
        <v>30</v>
      </c>
      <c r="Q40" s="4">
        <v>10</v>
      </c>
      <c r="R40" s="4">
        <v>841</v>
      </c>
      <c r="S40" s="4">
        <v>12</v>
      </c>
      <c r="T40" s="1">
        <v>5.9306936455283177</v>
      </c>
      <c r="U40" t="s">
        <v>31</v>
      </c>
      <c r="V40" s="1">
        <v>0.61332689916450744</v>
      </c>
      <c r="W40" t="s">
        <v>41</v>
      </c>
      <c r="X40" t="s">
        <v>33</v>
      </c>
      <c r="Y40" s="1">
        <v>339.67286994860615</v>
      </c>
      <c r="Z40">
        <v>1</v>
      </c>
      <c r="AA40" s="4">
        <v>17</v>
      </c>
      <c r="AB40">
        <v>515.80792219735076</v>
      </c>
      <c r="AD40"/>
      <c r="AE40"/>
    </row>
    <row r="41" spans="1:31" x14ac:dyDescent="0.25">
      <c r="A41" t="s">
        <v>34</v>
      </c>
      <c r="B41" t="s">
        <v>94</v>
      </c>
      <c r="C41" s="1">
        <v>19.127477265823256</v>
      </c>
      <c r="D41" s="3">
        <v>0.26</v>
      </c>
      <c r="E41">
        <v>176</v>
      </c>
      <c r="F41">
        <v>1912.4656631007608</v>
      </c>
      <c r="G41" t="s">
        <v>36</v>
      </c>
      <c r="H41" s="4">
        <v>78</v>
      </c>
      <c r="I41" s="4">
        <v>29</v>
      </c>
      <c r="J41">
        <v>36</v>
      </c>
      <c r="K41" s="4">
        <v>34</v>
      </c>
      <c r="L41">
        <v>3</v>
      </c>
      <c r="M41" t="s">
        <v>37</v>
      </c>
      <c r="N41" s="1">
        <v>5.5625037788303837</v>
      </c>
      <c r="O41" t="s">
        <v>62</v>
      </c>
      <c r="P41" t="s">
        <v>46</v>
      </c>
      <c r="Q41" s="4">
        <v>30</v>
      </c>
      <c r="R41" s="4">
        <v>791</v>
      </c>
      <c r="S41" s="4">
        <v>6</v>
      </c>
      <c r="T41" s="1">
        <v>9.0058074287816421</v>
      </c>
      <c r="U41" t="s">
        <v>47</v>
      </c>
      <c r="V41" s="1">
        <v>1.4519722039968159</v>
      </c>
      <c r="W41" t="s">
        <v>41</v>
      </c>
      <c r="X41" t="s">
        <v>33</v>
      </c>
      <c r="Y41" s="1">
        <v>653.67299455203317</v>
      </c>
      <c r="Z41">
        <v>0</v>
      </c>
      <c r="AA41" s="4">
        <v>29</v>
      </c>
      <c r="AB41">
        <v>1148.5100133614815</v>
      </c>
      <c r="AD41"/>
      <c r="AE41"/>
    </row>
    <row r="42" spans="1:31" x14ac:dyDescent="0.25">
      <c r="A42" t="s">
        <v>34</v>
      </c>
      <c r="B42" t="s">
        <v>95</v>
      </c>
      <c r="C42" s="1">
        <v>80.541424170940331</v>
      </c>
      <c r="D42" s="3">
        <v>0.97</v>
      </c>
      <c r="E42">
        <v>933</v>
      </c>
      <c r="F42">
        <v>5724.9593504562654</v>
      </c>
      <c r="G42" t="s">
        <v>36</v>
      </c>
      <c r="H42" s="4">
        <v>90</v>
      </c>
      <c r="I42" s="4">
        <v>20</v>
      </c>
      <c r="J42">
        <v>19</v>
      </c>
      <c r="K42" s="4">
        <v>39</v>
      </c>
      <c r="L42">
        <v>8</v>
      </c>
      <c r="M42" t="s">
        <v>44</v>
      </c>
      <c r="N42" s="1">
        <v>7.2295951397364737</v>
      </c>
      <c r="O42" t="s">
        <v>40</v>
      </c>
      <c r="P42" t="s">
        <v>46</v>
      </c>
      <c r="Q42" s="4">
        <v>18</v>
      </c>
      <c r="R42" s="4">
        <v>793</v>
      </c>
      <c r="S42" s="4">
        <v>1</v>
      </c>
      <c r="T42" s="1">
        <v>88.179407104217461</v>
      </c>
      <c r="U42" t="s">
        <v>31</v>
      </c>
      <c r="V42" s="1">
        <v>4.2132694305865659</v>
      </c>
      <c r="W42" t="s">
        <v>32</v>
      </c>
      <c r="X42" t="s">
        <v>49</v>
      </c>
      <c r="Y42" s="1">
        <v>529.80872398069187</v>
      </c>
      <c r="Z42">
        <v>0</v>
      </c>
      <c r="AA42" s="4">
        <v>20</v>
      </c>
      <c r="AB42">
        <v>3341.1226584551468</v>
      </c>
      <c r="AD42"/>
      <c r="AE42"/>
    </row>
    <row r="43" spans="1:31" x14ac:dyDescent="0.25">
      <c r="A43" t="s">
        <v>34</v>
      </c>
      <c r="B43" t="s">
        <v>96</v>
      </c>
      <c r="C43" s="1">
        <v>99.113291615317166</v>
      </c>
      <c r="D43" s="3">
        <v>0.35</v>
      </c>
      <c r="E43">
        <v>556</v>
      </c>
      <c r="F43">
        <v>5521.2052590109715</v>
      </c>
      <c r="G43" t="s">
        <v>36</v>
      </c>
      <c r="H43" s="4">
        <v>64</v>
      </c>
      <c r="I43" s="4">
        <v>19</v>
      </c>
      <c r="J43">
        <v>25</v>
      </c>
      <c r="K43" s="4">
        <v>38</v>
      </c>
      <c r="L43">
        <v>8</v>
      </c>
      <c r="M43" t="s">
        <v>28</v>
      </c>
      <c r="N43" s="1">
        <v>5.7732637437666536</v>
      </c>
      <c r="O43" t="s">
        <v>53</v>
      </c>
      <c r="P43" t="s">
        <v>63</v>
      </c>
      <c r="Q43" s="4">
        <v>18</v>
      </c>
      <c r="R43" s="4">
        <v>892</v>
      </c>
      <c r="S43" s="4">
        <v>7</v>
      </c>
      <c r="T43" s="1">
        <v>95.332064548772493</v>
      </c>
      <c r="U43" t="s">
        <v>47</v>
      </c>
      <c r="V43" s="1">
        <v>4.530226239825963E-2</v>
      </c>
      <c r="W43" t="s">
        <v>57</v>
      </c>
      <c r="X43" t="s">
        <v>49</v>
      </c>
      <c r="Y43" s="1">
        <v>275.52437113130981</v>
      </c>
      <c r="Z43">
        <v>0</v>
      </c>
      <c r="AA43" s="4">
        <v>19</v>
      </c>
      <c r="AB43">
        <v>40.409618059247592</v>
      </c>
      <c r="AD43"/>
      <c r="AE43"/>
    </row>
    <row r="44" spans="1:31" x14ac:dyDescent="0.25">
      <c r="A44" t="s">
        <v>34</v>
      </c>
      <c r="B44" t="s">
        <v>97</v>
      </c>
      <c r="C44" s="1">
        <v>46.529167614516773</v>
      </c>
      <c r="D44" s="3">
        <v>0.98</v>
      </c>
      <c r="E44">
        <v>155</v>
      </c>
      <c r="F44">
        <v>1839.6094258567639</v>
      </c>
      <c r="G44" t="s">
        <v>36</v>
      </c>
      <c r="H44" s="4">
        <v>22</v>
      </c>
      <c r="I44" s="4">
        <v>27</v>
      </c>
      <c r="J44">
        <v>33</v>
      </c>
      <c r="K44" s="4">
        <v>57</v>
      </c>
      <c r="L44">
        <v>4</v>
      </c>
      <c r="M44" t="s">
        <v>44</v>
      </c>
      <c r="N44" s="1">
        <v>7.5262483268515084</v>
      </c>
      <c r="O44" t="s">
        <v>45</v>
      </c>
      <c r="P44" t="s">
        <v>54</v>
      </c>
      <c r="Q44" s="4">
        <v>26</v>
      </c>
      <c r="R44" s="4">
        <v>179</v>
      </c>
      <c r="S44" s="4">
        <v>7</v>
      </c>
      <c r="T44" s="1">
        <v>96.422820639571867</v>
      </c>
      <c r="U44" t="s">
        <v>47</v>
      </c>
      <c r="V44" s="1">
        <v>4.9392552886209478</v>
      </c>
      <c r="W44" t="s">
        <v>32</v>
      </c>
      <c r="X44" t="s">
        <v>49</v>
      </c>
      <c r="Y44" s="1">
        <v>635.65712050199193</v>
      </c>
      <c r="Z44">
        <v>0</v>
      </c>
      <c r="AA44" s="4">
        <v>27</v>
      </c>
      <c r="AB44">
        <v>884.12669666314969</v>
      </c>
      <c r="AD44"/>
      <c r="AE44"/>
    </row>
    <row r="45" spans="1:31" x14ac:dyDescent="0.25">
      <c r="A45" t="s">
        <v>25</v>
      </c>
      <c r="B45" t="s">
        <v>98</v>
      </c>
      <c r="C45" s="1">
        <v>11.743271776309239</v>
      </c>
      <c r="D45" s="3">
        <v>0.06</v>
      </c>
      <c r="E45">
        <v>598</v>
      </c>
      <c r="F45">
        <v>5737.425599119023</v>
      </c>
      <c r="G45" t="s">
        <v>39</v>
      </c>
      <c r="H45" s="4">
        <v>36</v>
      </c>
      <c r="I45" s="4">
        <v>29</v>
      </c>
      <c r="J45">
        <v>24</v>
      </c>
      <c r="K45" s="4">
        <v>85</v>
      </c>
      <c r="L45">
        <v>9</v>
      </c>
      <c r="M45" t="s">
        <v>28</v>
      </c>
      <c r="N45" s="1">
        <v>3.6940212683884543</v>
      </c>
      <c r="O45" t="s">
        <v>45</v>
      </c>
      <c r="P45" t="s">
        <v>30</v>
      </c>
      <c r="Q45" s="4">
        <v>1</v>
      </c>
      <c r="R45" s="4">
        <v>206</v>
      </c>
      <c r="S45" s="4">
        <v>23</v>
      </c>
      <c r="T45" s="1">
        <v>26.27736595733241</v>
      </c>
      <c r="U45" t="s">
        <v>31</v>
      </c>
      <c r="V45" s="1">
        <v>0.37230476798509771</v>
      </c>
      <c r="W45" t="s">
        <v>41</v>
      </c>
      <c r="X45" t="s">
        <v>49</v>
      </c>
      <c r="Y45" s="1">
        <v>716.04411975934067</v>
      </c>
      <c r="Z45">
        <v>0</v>
      </c>
      <c r="AA45" s="4">
        <v>29</v>
      </c>
      <c r="AB45">
        <v>76.694782204930121</v>
      </c>
      <c r="AD45"/>
      <c r="AE45"/>
    </row>
    <row r="46" spans="1:31" x14ac:dyDescent="0.25">
      <c r="A46" t="s">
        <v>58</v>
      </c>
      <c r="B46" t="s">
        <v>99</v>
      </c>
      <c r="C46" s="1">
        <v>51.35579091311039</v>
      </c>
      <c r="D46" s="3">
        <v>0.34</v>
      </c>
      <c r="E46">
        <v>919</v>
      </c>
      <c r="F46">
        <v>7152.2860494355145</v>
      </c>
      <c r="G46" t="s">
        <v>36</v>
      </c>
      <c r="H46" s="4">
        <v>13</v>
      </c>
      <c r="I46" s="4">
        <v>19</v>
      </c>
      <c r="J46">
        <v>25</v>
      </c>
      <c r="K46" s="4">
        <v>72</v>
      </c>
      <c r="L46">
        <v>6</v>
      </c>
      <c r="M46" t="s">
        <v>44</v>
      </c>
      <c r="N46" s="1">
        <v>7.5774496573766932</v>
      </c>
      <c r="O46" t="s">
        <v>62</v>
      </c>
      <c r="P46" t="s">
        <v>51</v>
      </c>
      <c r="Q46" s="4">
        <v>7</v>
      </c>
      <c r="R46" s="4">
        <v>834</v>
      </c>
      <c r="S46" s="4">
        <v>18</v>
      </c>
      <c r="T46" s="1">
        <v>22.554106620887744</v>
      </c>
      <c r="U46" t="s">
        <v>47</v>
      </c>
      <c r="V46" s="1">
        <v>2.9626263204548819</v>
      </c>
      <c r="W46" t="s">
        <v>48</v>
      </c>
      <c r="X46" t="s">
        <v>49</v>
      </c>
      <c r="Y46" s="1">
        <v>610.45326961922774</v>
      </c>
      <c r="Z46">
        <v>0</v>
      </c>
      <c r="AA46" s="4">
        <v>19</v>
      </c>
      <c r="AB46">
        <v>2470.8303512593716</v>
      </c>
      <c r="AD46"/>
      <c r="AE46"/>
    </row>
    <row r="47" spans="1:31" x14ac:dyDescent="0.25">
      <c r="A47" t="s">
        <v>25</v>
      </c>
      <c r="B47" t="s">
        <v>100</v>
      </c>
      <c r="C47" s="1">
        <v>33.78413803306551</v>
      </c>
      <c r="D47" s="3">
        <v>0.01</v>
      </c>
      <c r="E47">
        <v>24</v>
      </c>
      <c r="F47">
        <v>5267.9568075105208</v>
      </c>
      <c r="G47" t="s">
        <v>56</v>
      </c>
      <c r="H47" s="4">
        <v>93</v>
      </c>
      <c r="I47" s="4">
        <v>7</v>
      </c>
      <c r="J47">
        <v>50</v>
      </c>
      <c r="K47" s="4">
        <v>52</v>
      </c>
      <c r="L47">
        <v>6</v>
      </c>
      <c r="M47" t="s">
        <v>28</v>
      </c>
      <c r="N47" s="1">
        <v>5.2151550087119096</v>
      </c>
      <c r="O47" t="s">
        <v>62</v>
      </c>
      <c r="P47" t="s">
        <v>63</v>
      </c>
      <c r="Q47" s="4">
        <v>25</v>
      </c>
      <c r="R47" s="4">
        <v>794</v>
      </c>
      <c r="S47" s="4">
        <v>25</v>
      </c>
      <c r="T47" s="1">
        <v>66.312544439991655</v>
      </c>
      <c r="U47" t="s">
        <v>65</v>
      </c>
      <c r="V47" s="1">
        <v>3.219604612084106</v>
      </c>
      <c r="W47" t="s">
        <v>48</v>
      </c>
      <c r="X47" t="s">
        <v>49</v>
      </c>
      <c r="Y47" s="1">
        <v>495.30569702847396</v>
      </c>
      <c r="Z47">
        <v>1</v>
      </c>
      <c r="AA47" s="4">
        <v>31</v>
      </c>
      <c r="AB47">
        <v>2556.36606199478</v>
      </c>
      <c r="AD47"/>
      <c r="AE47"/>
    </row>
    <row r="48" spans="1:31" x14ac:dyDescent="0.25">
      <c r="A48" t="s">
        <v>25</v>
      </c>
      <c r="B48" t="s">
        <v>101</v>
      </c>
      <c r="C48" s="1">
        <v>27.082207199888899</v>
      </c>
      <c r="D48" s="3">
        <v>0.75</v>
      </c>
      <c r="E48">
        <v>859</v>
      </c>
      <c r="F48">
        <v>2556.7673606335957</v>
      </c>
      <c r="G48" t="s">
        <v>27</v>
      </c>
      <c r="H48" s="4">
        <v>92</v>
      </c>
      <c r="I48" s="4">
        <v>29</v>
      </c>
      <c r="J48">
        <v>41</v>
      </c>
      <c r="K48" s="4">
        <v>6</v>
      </c>
      <c r="L48">
        <v>8</v>
      </c>
      <c r="M48" t="s">
        <v>28</v>
      </c>
      <c r="N48" s="1">
        <v>4.0709558370840826</v>
      </c>
      <c r="O48" t="s">
        <v>29</v>
      </c>
      <c r="P48" t="s">
        <v>63</v>
      </c>
      <c r="Q48" s="4">
        <v>18</v>
      </c>
      <c r="R48" s="4">
        <v>870</v>
      </c>
      <c r="S48" s="4">
        <v>23</v>
      </c>
      <c r="T48" s="1">
        <v>77.32235321105162</v>
      </c>
      <c r="U48" t="s">
        <v>31</v>
      </c>
      <c r="V48" s="1">
        <v>3.6486105925362033</v>
      </c>
      <c r="W48" t="s">
        <v>32</v>
      </c>
      <c r="X48" t="s">
        <v>33</v>
      </c>
      <c r="Y48" s="1">
        <v>380.43593711196428</v>
      </c>
      <c r="Z48">
        <v>0</v>
      </c>
      <c r="AA48" s="4">
        <v>29</v>
      </c>
      <c r="AB48">
        <v>3174.2912155064969</v>
      </c>
      <c r="AD48"/>
      <c r="AE48"/>
    </row>
    <row r="49" spans="1:31" x14ac:dyDescent="0.25">
      <c r="A49" t="s">
        <v>34</v>
      </c>
      <c r="B49" t="s">
        <v>102</v>
      </c>
      <c r="C49" s="1">
        <v>95.712135880936088</v>
      </c>
      <c r="D49" s="3">
        <v>0.93</v>
      </c>
      <c r="E49">
        <v>910</v>
      </c>
      <c r="F49">
        <v>7089.4742499341864</v>
      </c>
      <c r="G49" t="s">
        <v>56</v>
      </c>
      <c r="H49" s="4">
        <v>4</v>
      </c>
      <c r="I49" s="4">
        <v>15</v>
      </c>
      <c r="J49">
        <v>30</v>
      </c>
      <c r="K49" s="4">
        <v>51</v>
      </c>
      <c r="L49">
        <v>9</v>
      </c>
      <c r="M49" t="s">
        <v>28</v>
      </c>
      <c r="N49" s="1">
        <v>8.9787507559499709</v>
      </c>
      <c r="O49" t="s">
        <v>40</v>
      </c>
      <c r="P49" t="s">
        <v>46</v>
      </c>
      <c r="Q49" s="4">
        <v>10</v>
      </c>
      <c r="R49" s="4">
        <v>964</v>
      </c>
      <c r="S49" s="4">
        <v>20</v>
      </c>
      <c r="T49" s="1">
        <v>19.712992911293647</v>
      </c>
      <c r="U49" t="s">
        <v>31</v>
      </c>
      <c r="V49" s="1">
        <v>0.38057358671321373</v>
      </c>
      <c r="W49" t="s">
        <v>48</v>
      </c>
      <c r="X49" t="s">
        <v>49</v>
      </c>
      <c r="Y49" s="1">
        <v>581.60235505058677</v>
      </c>
      <c r="Z49">
        <v>1</v>
      </c>
      <c r="AA49" s="4">
        <v>29</v>
      </c>
      <c r="AB49">
        <v>366.87293759153806</v>
      </c>
      <c r="AD49"/>
      <c r="AE49"/>
    </row>
    <row r="50" spans="1:31" x14ac:dyDescent="0.25">
      <c r="A50" t="s">
        <v>25</v>
      </c>
      <c r="B50" t="s">
        <v>103</v>
      </c>
      <c r="C50" s="1">
        <v>76.035544426891718</v>
      </c>
      <c r="D50" s="3">
        <v>0.28000000000000003</v>
      </c>
      <c r="E50">
        <v>29</v>
      </c>
      <c r="F50">
        <v>7397.0710045871801</v>
      </c>
      <c r="G50" t="s">
        <v>27</v>
      </c>
      <c r="H50" s="4">
        <v>30</v>
      </c>
      <c r="I50" s="4">
        <v>16</v>
      </c>
      <c r="J50">
        <v>27</v>
      </c>
      <c r="K50" s="4">
        <v>9</v>
      </c>
      <c r="L50">
        <v>3</v>
      </c>
      <c r="M50" t="s">
        <v>44</v>
      </c>
      <c r="N50" s="1">
        <v>7.0958331565551385</v>
      </c>
      <c r="O50" t="s">
        <v>62</v>
      </c>
      <c r="P50" t="s">
        <v>30</v>
      </c>
      <c r="Q50" s="4">
        <v>9</v>
      </c>
      <c r="R50" s="4">
        <v>109</v>
      </c>
      <c r="S50" s="4">
        <v>18</v>
      </c>
      <c r="T50" s="1">
        <v>23.126363582464776</v>
      </c>
      <c r="U50" t="s">
        <v>47</v>
      </c>
      <c r="V50" s="1">
        <v>1.6981125407144038</v>
      </c>
      <c r="W50" t="s">
        <v>48</v>
      </c>
      <c r="X50" t="s">
        <v>33</v>
      </c>
      <c r="Y50" s="1">
        <v>768.65191395437</v>
      </c>
      <c r="Z50">
        <v>1</v>
      </c>
      <c r="AA50" s="4">
        <v>21</v>
      </c>
      <c r="AB50">
        <v>185.09426693787</v>
      </c>
      <c r="AD50"/>
      <c r="AE50"/>
    </row>
    <row r="51" spans="1:31" x14ac:dyDescent="0.25">
      <c r="A51" t="s">
        <v>58</v>
      </c>
      <c r="B51" t="s">
        <v>104</v>
      </c>
      <c r="C51" s="1">
        <v>78.897913205640037</v>
      </c>
      <c r="D51" s="3">
        <v>0.19</v>
      </c>
      <c r="E51">
        <v>99</v>
      </c>
      <c r="F51">
        <v>8001.6132065190022</v>
      </c>
      <c r="G51" t="s">
        <v>39</v>
      </c>
      <c r="H51" s="4">
        <v>97</v>
      </c>
      <c r="I51" s="4">
        <v>24</v>
      </c>
      <c r="J51">
        <v>56</v>
      </c>
      <c r="K51" s="4">
        <v>9</v>
      </c>
      <c r="L51">
        <v>6</v>
      </c>
      <c r="M51" t="s">
        <v>44</v>
      </c>
      <c r="N51" s="1">
        <v>2.5056210329009154</v>
      </c>
      <c r="O51" t="s">
        <v>45</v>
      </c>
      <c r="P51" t="s">
        <v>51</v>
      </c>
      <c r="Q51" s="4">
        <v>28</v>
      </c>
      <c r="R51" s="4">
        <v>177</v>
      </c>
      <c r="S51" s="4">
        <v>28</v>
      </c>
      <c r="T51" s="1">
        <v>14.147815443979217</v>
      </c>
      <c r="U51" t="s">
        <v>65</v>
      </c>
      <c r="V51" s="1">
        <v>2.8258139854001318</v>
      </c>
      <c r="W51" t="s">
        <v>48</v>
      </c>
      <c r="X51" t="s">
        <v>49</v>
      </c>
      <c r="Y51" s="1">
        <v>336.89016851997792</v>
      </c>
      <c r="Z51">
        <v>1</v>
      </c>
      <c r="AA51" s="4">
        <v>34</v>
      </c>
      <c r="AB51">
        <v>500.16907541582333</v>
      </c>
      <c r="AD51"/>
      <c r="AE51"/>
    </row>
    <row r="52" spans="1:31" x14ac:dyDescent="0.25">
      <c r="A52" t="s">
        <v>58</v>
      </c>
      <c r="B52" t="s">
        <v>105</v>
      </c>
      <c r="C52" s="1">
        <v>14.203484264803022</v>
      </c>
      <c r="D52" s="3">
        <v>0.91</v>
      </c>
      <c r="E52">
        <v>633</v>
      </c>
      <c r="F52">
        <v>5910.8853896688988</v>
      </c>
      <c r="G52" t="s">
        <v>36</v>
      </c>
      <c r="H52" s="4">
        <v>31</v>
      </c>
      <c r="I52" s="4">
        <v>23</v>
      </c>
      <c r="J52">
        <v>41</v>
      </c>
      <c r="K52" s="4">
        <v>82</v>
      </c>
      <c r="L52">
        <v>10</v>
      </c>
      <c r="M52" t="s">
        <v>37</v>
      </c>
      <c r="N52" s="1">
        <v>6.2478609149759912</v>
      </c>
      <c r="O52" t="s">
        <v>62</v>
      </c>
      <c r="P52" t="s">
        <v>51</v>
      </c>
      <c r="Q52" s="4">
        <v>20</v>
      </c>
      <c r="R52" s="4">
        <v>306</v>
      </c>
      <c r="S52" s="4">
        <v>21</v>
      </c>
      <c r="T52" s="1">
        <v>45.178757924634517</v>
      </c>
      <c r="U52" t="s">
        <v>47</v>
      </c>
      <c r="V52" s="1">
        <v>4.7548008046711852</v>
      </c>
      <c r="W52" t="s">
        <v>48</v>
      </c>
      <c r="X52" t="s">
        <v>33</v>
      </c>
      <c r="Y52" s="1">
        <v>496.24865029194046</v>
      </c>
      <c r="Z52">
        <v>0</v>
      </c>
      <c r="AA52" s="4">
        <v>23</v>
      </c>
      <c r="AB52">
        <v>1454.9690462293827</v>
      </c>
      <c r="AD52"/>
      <c r="AE52"/>
    </row>
    <row r="53" spans="1:31" x14ac:dyDescent="0.25">
      <c r="A53" t="s">
        <v>25</v>
      </c>
      <c r="B53" t="s">
        <v>106</v>
      </c>
      <c r="C53" s="1">
        <v>26.70076097246173</v>
      </c>
      <c r="D53" s="3">
        <v>0.61</v>
      </c>
      <c r="E53">
        <v>154</v>
      </c>
      <c r="F53">
        <v>9866.465457979697</v>
      </c>
      <c r="G53" t="s">
        <v>56</v>
      </c>
      <c r="H53" s="4">
        <v>100</v>
      </c>
      <c r="I53" s="4">
        <v>4</v>
      </c>
      <c r="J53">
        <v>46</v>
      </c>
      <c r="K53" s="4">
        <v>52</v>
      </c>
      <c r="L53">
        <v>1</v>
      </c>
      <c r="M53" t="s">
        <v>37</v>
      </c>
      <c r="N53" s="1">
        <v>4.7830005579476653</v>
      </c>
      <c r="O53" t="s">
        <v>45</v>
      </c>
      <c r="P53" t="s">
        <v>54</v>
      </c>
      <c r="Q53" s="4">
        <v>18</v>
      </c>
      <c r="R53" s="4">
        <v>673</v>
      </c>
      <c r="S53" s="4">
        <v>28</v>
      </c>
      <c r="T53" s="1">
        <v>14.190328344569981</v>
      </c>
      <c r="U53" t="s">
        <v>31</v>
      </c>
      <c r="V53" s="1">
        <v>1.7729511720835571</v>
      </c>
      <c r="W53" t="s">
        <v>32</v>
      </c>
      <c r="X53" t="s">
        <v>49</v>
      </c>
      <c r="Y53" s="1">
        <v>694.98231757944586</v>
      </c>
      <c r="Z53">
        <v>1</v>
      </c>
      <c r="AA53" s="4">
        <v>29</v>
      </c>
      <c r="AB53">
        <v>1193.196138812234</v>
      </c>
      <c r="AD53"/>
      <c r="AE53"/>
    </row>
    <row r="54" spans="1:31" x14ac:dyDescent="0.25">
      <c r="A54" t="s">
        <v>34</v>
      </c>
      <c r="B54" t="s">
        <v>107</v>
      </c>
      <c r="C54" s="1">
        <v>98.031829656465078</v>
      </c>
      <c r="D54" s="3">
        <v>0.01</v>
      </c>
      <c r="E54">
        <v>820</v>
      </c>
      <c r="F54">
        <v>9435.7626089121295</v>
      </c>
      <c r="G54" t="s">
        <v>56</v>
      </c>
      <c r="H54" s="4">
        <v>64</v>
      </c>
      <c r="I54" s="4">
        <v>11</v>
      </c>
      <c r="J54">
        <v>37</v>
      </c>
      <c r="K54" s="4">
        <v>11</v>
      </c>
      <c r="L54">
        <v>1</v>
      </c>
      <c r="M54" t="s">
        <v>28</v>
      </c>
      <c r="N54" s="1">
        <v>8.6310521797689468</v>
      </c>
      <c r="O54" t="s">
        <v>40</v>
      </c>
      <c r="P54" t="s">
        <v>30</v>
      </c>
      <c r="Q54" s="4">
        <v>10</v>
      </c>
      <c r="R54" s="4">
        <v>727</v>
      </c>
      <c r="S54" s="4">
        <v>27</v>
      </c>
      <c r="T54" s="1">
        <v>9.1668491485971515</v>
      </c>
      <c r="U54" t="s">
        <v>31</v>
      </c>
      <c r="V54" s="1">
        <v>2.1224716191438247</v>
      </c>
      <c r="W54" t="s">
        <v>41</v>
      </c>
      <c r="X54" t="s">
        <v>42</v>
      </c>
      <c r="Y54" s="1">
        <v>602.89849883838338</v>
      </c>
      <c r="Z54">
        <v>1</v>
      </c>
      <c r="AA54" s="4">
        <v>28</v>
      </c>
      <c r="AB54">
        <v>1543.0368671175606</v>
      </c>
      <c r="AD54"/>
      <c r="AE54"/>
    </row>
    <row r="55" spans="1:31" x14ac:dyDescent="0.25">
      <c r="A55" t="s">
        <v>34</v>
      </c>
      <c r="B55" t="s">
        <v>108</v>
      </c>
      <c r="C55" s="1">
        <v>30.341470711214214</v>
      </c>
      <c r="D55" s="3">
        <v>0.93</v>
      </c>
      <c r="E55">
        <v>242</v>
      </c>
      <c r="F55">
        <v>8232.3348294258212</v>
      </c>
      <c r="G55" t="s">
        <v>56</v>
      </c>
      <c r="H55" s="4">
        <v>96</v>
      </c>
      <c r="I55" s="4">
        <v>25</v>
      </c>
      <c r="J55">
        <v>18</v>
      </c>
      <c r="K55" s="4">
        <v>54</v>
      </c>
      <c r="L55">
        <v>3</v>
      </c>
      <c r="M55" t="s">
        <v>28</v>
      </c>
      <c r="N55" s="1">
        <v>1.0134865660958963</v>
      </c>
      <c r="O55" t="s">
        <v>40</v>
      </c>
      <c r="P55" t="s">
        <v>51</v>
      </c>
      <c r="Q55" s="4">
        <v>1</v>
      </c>
      <c r="R55" s="4">
        <v>631</v>
      </c>
      <c r="S55" s="4">
        <v>17</v>
      </c>
      <c r="T55" s="1">
        <v>83.344058991677969</v>
      </c>
      <c r="U55" t="s">
        <v>31</v>
      </c>
      <c r="V55" s="1">
        <v>1.4103475760760271</v>
      </c>
      <c r="W55" t="s">
        <v>41</v>
      </c>
      <c r="X55" t="s">
        <v>33</v>
      </c>
      <c r="Y55" s="1">
        <v>750.73784066827091</v>
      </c>
      <c r="Z55">
        <v>0</v>
      </c>
      <c r="AA55" s="4">
        <v>25</v>
      </c>
      <c r="AB55">
        <v>889.92932050397314</v>
      </c>
      <c r="AD55"/>
      <c r="AE55"/>
    </row>
    <row r="56" spans="1:31" x14ac:dyDescent="0.25">
      <c r="A56" t="s">
        <v>25</v>
      </c>
      <c r="B56" t="s">
        <v>109</v>
      </c>
      <c r="C56" s="1">
        <v>31.146243160240854</v>
      </c>
      <c r="D56" s="3">
        <v>0.11</v>
      </c>
      <c r="E56">
        <v>622</v>
      </c>
      <c r="F56">
        <v>6088.0214799408586</v>
      </c>
      <c r="G56" t="s">
        <v>27</v>
      </c>
      <c r="H56" s="4">
        <v>33</v>
      </c>
      <c r="I56" s="4">
        <v>22</v>
      </c>
      <c r="J56">
        <v>55</v>
      </c>
      <c r="K56" s="4">
        <v>61</v>
      </c>
      <c r="L56">
        <v>3</v>
      </c>
      <c r="M56" t="s">
        <v>28</v>
      </c>
      <c r="N56" s="1">
        <v>4.3051034712876355</v>
      </c>
      <c r="O56" t="s">
        <v>40</v>
      </c>
      <c r="P56" t="s">
        <v>46</v>
      </c>
      <c r="Q56" s="4">
        <v>26</v>
      </c>
      <c r="R56" s="4">
        <v>497</v>
      </c>
      <c r="S56" s="4">
        <v>29</v>
      </c>
      <c r="T56" s="1">
        <v>30.186023375822508</v>
      </c>
      <c r="U56" t="s">
        <v>65</v>
      </c>
      <c r="V56" s="1">
        <v>2.4787719755397477</v>
      </c>
      <c r="W56" t="s">
        <v>32</v>
      </c>
      <c r="X56" t="s">
        <v>33</v>
      </c>
      <c r="Y56" s="1">
        <v>814.06999658218751</v>
      </c>
      <c r="Z56">
        <v>1</v>
      </c>
      <c r="AA56" s="4">
        <v>32</v>
      </c>
      <c r="AB56">
        <v>1231.9496718432547</v>
      </c>
      <c r="AD56"/>
      <c r="AE56"/>
    </row>
    <row r="57" spans="1:31" x14ac:dyDescent="0.25">
      <c r="A57" t="s">
        <v>25</v>
      </c>
      <c r="B57" t="s">
        <v>110</v>
      </c>
      <c r="C57" s="1">
        <v>79.855058340789427</v>
      </c>
      <c r="D57" s="3">
        <v>0.16</v>
      </c>
      <c r="E57">
        <v>701</v>
      </c>
      <c r="F57">
        <v>2925.6751703038126</v>
      </c>
      <c r="G57" t="s">
        <v>56</v>
      </c>
      <c r="H57" s="4">
        <v>97</v>
      </c>
      <c r="I57" s="4">
        <v>11</v>
      </c>
      <c r="J57">
        <v>32</v>
      </c>
      <c r="K57" s="4">
        <v>11</v>
      </c>
      <c r="L57">
        <v>5</v>
      </c>
      <c r="M57" t="s">
        <v>37</v>
      </c>
      <c r="N57" s="1">
        <v>5.0143649550309073</v>
      </c>
      <c r="O57" t="s">
        <v>62</v>
      </c>
      <c r="P57" t="s">
        <v>51</v>
      </c>
      <c r="Q57" s="4">
        <v>27</v>
      </c>
      <c r="R57" s="4">
        <v>918</v>
      </c>
      <c r="S57" s="4">
        <v>5</v>
      </c>
      <c r="T57" s="1">
        <v>30.323545256616502</v>
      </c>
      <c r="U57" t="s">
        <v>47</v>
      </c>
      <c r="V57" s="1">
        <v>4.5489196593963852</v>
      </c>
      <c r="W57" t="s">
        <v>57</v>
      </c>
      <c r="X57" t="s">
        <v>33</v>
      </c>
      <c r="Y57" s="1">
        <v>323.01292795247883</v>
      </c>
      <c r="Z57">
        <v>0</v>
      </c>
      <c r="AA57" s="4">
        <v>11</v>
      </c>
      <c r="AB57">
        <v>4175.9082473258813</v>
      </c>
      <c r="AD57"/>
      <c r="AE57"/>
    </row>
    <row r="58" spans="1:31" x14ac:dyDescent="0.25">
      <c r="A58" t="s">
        <v>34</v>
      </c>
      <c r="B58" t="s">
        <v>111</v>
      </c>
      <c r="C58" s="1">
        <v>20.986386037043378</v>
      </c>
      <c r="D58" s="3">
        <v>0.9</v>
      </c>
      <c r="E58">
        <v>93</v>
      </c>
      <c r="F58">
        <v>4767.020484344137</v>
      </c>
      <c r="G58" t="s">
        <v>27</v>
      </c>
      <c r="H58" s="4">
        <v>25</v>
      </c>
      <c r="I58" s="4">
        <v>23</v>
      </c>
      <c r="J58">
        <v>52</v>
      </c>
      <c r="K58" s="4">
        <v>83</v>
      </c>
      <c r="L58">
        <v>5</v>
      </c>
      <c r="M58" t="s">
        <v>44</v>
      </c>
      <c r="N58" s="1">
        <v>1.7744297140717396</v>
      </c>
      <c r="O58" t="s">
        <v>40</v>
      </c>
      <c r="P58" t="s">
        <v>30</v>
      </c>
      <c r="Q58" s="4">
        <v>24</v>
      </c>
      <c r="R58" s="4">
        <v>826</v>
      </c>
      <c r="S58" s="4">
        <v>28</v>
      </c>
      <c r="T58" s="1">
        <v>12.836284572832753</v>
      </c>
      <c r="U58" t="s">
        <v>65</v>
      </c>
      <c r="V58" s="1">
        <v>1.1737554953874541</v>
      </c>
      <c r="W58" t="s">
        <v>41</v>
      </c>
      <c r="X58" t="s">
        <v>33</v>
      </c>
      <c r="Y58" s="1">
        <v>832.21080870602168</v>
      </c>
      <c r="Z58">
        <v>1</v>
      </c>
      <c r="AA58" s="4">
        <v>33</v>
      </c>
      <c r="AB58">
        <v>969.52203919003705</v>
      </c>
      <c r="AD58"/>
      <c r="AE58"/>
    </row>
    <row r="59" spans="1:31" x14ac:dyDescent="0.25">
      <c r="A59" t="s">
        <v>25</v>
      </c>
      <c r="B59" t="s">
        <v>112</v>
      </c>
      <c r="C59" s="1">
        <v>49.263205350734154</v>
      </c>
      <c r="D59" s="3">
        <v>0.65</v>
      </c>
      <c r="E59">
        <v>227</v>
      </c>
      <c r="F59">
        <v>1605.8669003924058</v>
      </c>
      <c r="G59" t="s">
        <v>39</v>
      </c>
      <c r="H59" s="4">
        <v>5</v>
      </c>
      <c r="I59" s="4">
        <v>18</v>
      </c>
      <c r="J59">
        <v>46</v>
      </c>
      <c r="K59" s="4">
        <v>51</v>
      </c>
      <c r="L59">
        <v>1</v>
      </c>
      <c r="M59" t="s">
        <v>28</v>
      </c>
      <c r="N59" s="1">
        <v>9.1605585353818704</v>
      </c>
      <c r="O59" t="s">
        <v>62</v>
      </c>
      <c r="P59" t="s">
        <v>51</v>
      </c>
      <c r="Q59" s="4">
        <v>21</v>
      </c>
      <c r="R59" s="4">
        <v>588</v>
      </c>
      <c r="S59" s="4">
        <v>25</v>
      </c>
      <c r="T59" s="1">
        <v>67.779622987078142</v>
      </c>
      <c r="U59" t="s">
        <v>31</v>
      </c>
      <c r="V59" s="1">
        <v>2.511174830212707</v>
      </c>
      <c r="W59" t="s">
        <v>48</v>
      </c>
      <c r="X59" t="s">
        <v>49</v>
      </c>
      <c r="Y59" s="1">
        <v>482.19123860252813</v>
      </c>
      <c r="Z59">
        <v>1</v>
      </c>
      <c r="AA59" s="4">
        <v>26</v>
      </c>
      <c r="AB59">
        <v>1476.5708001650717</v>
      </c>
      <c r="AD59"/>
      <c r="AE59"/>
    </row>
    <row r="60" spans="1:31" x14ac:dyDescent="0.25">
      <c r="A60" t="s">
        <v>34</v>
      </c>
      <c r="B60" t="s">
        <v>113</v>
      </c>
      <c r="C60" s="1">
        <v>59.84156137728931</v>
      </c>
      <c r="D60" s="3">
        <v>0.81</v>
      </c>
      <c r="E60">
        <v>896</v>
      </c>
      <c r="F60">
        <v>2021.1498103371077</v>
      </c>
      <c r="G60" t="s">
        <v>27</v>
      </c>
      <c r="H60" s="4">
        <v>10</v>
      </c>
      <c r="I60" s="4">
        <v>5</v>
      </c>
      <c r="J60">
        <v>25</v>
      </c>
      <c r="K60" s="4">
        <v>44</v>
      </c>
      <c r="L60">
        <v>7</v>
      </c>
      <c r="M60" t="s">
        <v>37</v>
      </c>
      <c r="N60" s="1">
        <v>4.9384385647120901</v>
      </c>
      <c r="O60" t="s">
        <v>29</v>
      </c>
      <c r="P60" t="s">
        <v>51</v>
      </c>
      <c r="Q60" s="4">
        <v>18</v>
      </c>
      <c r="R60" s="4">
        <v>396</v>
      </c>
      <c r="S60" s="4">
        <v>7</v>
      </c>
      <c r="T60" s="1">
        <v>65.047415094691459</v>
      </c>
      <c r="U60" t="s">
        <v>47</v>
      </c>
      <c r="V60" s="1">
        <v>1.7303747198591968</v>
      </c>
      <c r="W60" t="s">
        <v>32</v>
      </c>
      <c r="X60" t="s">
        <v>33</v>
      </c>
      <c r="Y60" s="1">
        <v>110.36433523136472</v>
      </c>
      <c r="Z60">
        <v>1</v>
      </c>
      <c r="AA60" s="4">
        <v>14</v>
      </c>
      <c r="AB60">
        <v>685.22838906424192</v>
      </c>
      <c r="AD60"/>
      <c r="AE60"/>
    </row>
    <row r="61" spans="1:31" x14ac:dyDescent="0.25">
      <c r="A61" t="s">
        <v>58</v>
      </c>
      <c r="B61" t="s">
        <v>114</v>
      </c>
      <c r="C61" s="1">
        <v>63.828398347710966</v>
      </c>
      <c r="D61" s="3">
        <v>0.3</v>
      </c>
      <c r="E61">
        <v>484</v>
      </c>
      <c r="F61">
        <v>1061.618523013288</v>
      </c>
      <c r="G61" t="s">
        <v>27</v>
      </c>
      <c r="H61" s="4">
        <v>100</v>
      </c>
      <c r="I61" s="4">
        <v>16</v>
      </c>
      <c r="J61">
        <v>15</v>
      </c>
      <c r="K61" s="4">
        <v>26</v>
      </c>
      <c r="L61">
        <v>7</v>
      </c>
      <c r="M61" t="s">
        <v>28</v>
      </c>
      <c r="N61" s="1">
        <v>7.2937225968677284</v>
      </c>
      <c r="O61" t="s">
        <v>40</v>
      </c>
      <c r="P61" t="s">
        <v>46</v>
      </c>
      <c r="Q61" s="4">
        <v>11</v>
      </c>
      <c r="R61" s="4">
        <v>176</v>
      </c>
      <c r="S61" s="4">
        <v>4</v>
      </c>
      <c r="T61" s="1">
        <v>1.900762243519458</v>
      </c>
      <c r="U61" t="s">
        <v>47</v>
      </c>
      <c r="V61" s="1">
        <v>0.4471940154638232</v>
      </c>
      <c r="W61" t="s">
        <v>41</v>
      </c>
      <c r="X61" t="s">
        <v>49</v>
      </c>
      <c r="Y61" s="1">
        <v>312.57427361009331</v>
      </c>
      <c r="Z61">
        <v>0</v>
      </c>
      <c r="AA61" s="4">
        <v>16</v>
      </c>
      <c r="AB61">
        <v>78.706146721632877</v>
      </c>
      <c r="AD61"/>
      <c r="AE61"/>
    </row>
    <row r="62" spans="1:31" x14ac:dyDescent="0.25">
      <c r="A62" t="s">
        <v>34</v>
      </c>
      <c r="B62" t="s">
        <v>115</v>
      </c>
      <c r="C62" s="1">
        <v>17.028027920188702</v>
      </c>
      <c r="D62" s="3">
        <v>0.16</v>
      </c>
      <c r="E62">
        <v>380</v>
      </c>
      <c r="F62">
        <v>8864.0843495864356</v>
      </c>
      <c r="G62" t="s">
        <v>36</v>
      </c>
      <c r="H62" s="4">
        <v>41</v>
      </c>
      <c r="I62" s="4">
        <v>27</v>
      </c>
      <c r="J62">
        <v>53</v>
      </c>
      <c r="K62" s="4">
        <v>72</v>
      </c>
      <c r="L62">
        <v>8</v>
      </c>
      <c r="M62" t="s">
        <v>44</v>
      </c>
      <c r="N62" s="1">
        <v>4.3813681581023145</v>
      </c>
      <c r="O62" t="s">
        <v>53</v>
      </c>
      <c r="P62" t="s">
        <v>30</v>
      </c>
      <c r="Q62" s="4">
        <v>29</v>
      </c>
      <c r="R62" s="4">
        <v>929</v>
      </c>
      <c r="S62" s="4">
        <v>24</v>
      </c>
      <c r="T62" s="1">
        <v>87.213057815135684</v>
      </c>
      <c r="U62" t="s">
        <v>47</v>
      </c>
      <c r="V62" s="1">
        <v>2.8530906166490539</v>
      </c>
      <c r="W62" t="s">
        <v>48</v>
      </c>
      <c r="X62" t="s">
        <v>49</v>
      </c>
      <c r="Y62" s="1">
        <v>430.16909697513654</v>
      </c>
      <c r="Z62">
        <v>0</v>
      </c>
      <c r="AA62" s="4">
        <v>27</v>
      </c>
      <c r="AB62">
        <v>2650.5211828669712</v>
      </c>
      <c r="AD62"/>
      <c r="AE62"/>
    </row>
    <row r="63" spans="1:31" x14ac:dyDescent="0.25">
      <c r="A63" t="s">
        <v>25</v>
      </c>
      <c r="B63" t="s">
        <v>116</v>
      </c>
      <c r="C63" s="1">
        <v>52.028749903294923</v>
      </c>
      <c r="D63" s="3">
        <v>0.23</v>
      </c>
      <c r="E63">
        <v>117</v>
      </c>
      <c r="F63">
        <v>6885.5893508962527</v>
      </c>
      <c r="G63" t="s">
        <v>39</v>
      </c>
      <c r="H63" s="4">
        <v>32</v>
      </c>
      <c r="I63" s="4">
        <v>23</v>
      </c>
      <c r="J63">
        <v>26</v>
      </c>
      <c r="K63" s="4">
        <v>36</v>
      </c>
      <c r="L63">
        <v>7</v>
      </c>
      <c r="M63" t="s">
        <v>44</v>
      </c>
      <c r="N63" s="1">
        <v>9.0303404225219488</v>
      </c>
      <c r="O63" t="s">
        <v>53</v>
      </c>
      <c r="P63" t="s">
        <v>46</v>
      </c>
      <c r="Q63" s="4">
        <v>14</v>
      </c>
      <c r="R63" s="4">
        <v>480</v>
      </c>
      <c r="S63" s="4">
        <v>12</v>
      </c>
      <c r="T63" s="1">
        <v>78.702393968878894</v>
      </c>
      <c r="U63" t="s">
        <v>47</v>
      </c>
      <c r="V63" s="1">
        <v>4.3674705382050529</v>
      </c>
      <c r="W63" t="s">
        <v>41</v>
      </c>
      <c r="X63" t="s">
        <v>49</v>
      </c>
      <c r="Y63" s="1">
        <v>164.36652824341942</v>
      </c>
      <c r="Z63">
        <v>0</v>
      </c>
      <c r="AA63" s="4">
        <v>23</v>
      </c>
      <c r="AB63">
        <v>2096.3858583384254</v>
      </c>
      <c r="AD63"/>
      <c r="AE63"/>
    </row>
    <row r="64" spans="1:31" x14ac:dyDescent="0.25">
      <c r="A64" t="s">
        <v>58</v>
      </c>
      <c r="B64" t="s">
        <v>117</v>
      </c>
      <c r="C64" s="1">
        <v>72.796353955587364</v>
      </c>
      <c r="D64" s="3">
        <v>0.89</v>
      </c>
      <c r="E64">
        <v>270</v>
      </c>
      <c r="F64">
        <v>3899.7468337292244</v>
      </c>
      <c r="G64" t="s">
        <v>39</v>
      </c>
      <c r="H64" s="4">
        <v>86</v>
      </c>
      <c r="I64" s="4">
        <v>2</v>
      </c>
      <c r="J64">
        <v>27</v>
      </c>
      <c r="K64" s="4">
        <v>40</v>
      </c>
      <c r="L64">
        <v>7</v>
      </c>
      <c r="M64" t="s">
        <v>44</v>
      </c>
      <c r="N64" s="1">
        <v>7.2917013887767759</v>
      </c>
      <c r="O64" t="s">
        <v>62</v>
      </c>
      <c r="P64" t="s">
        <v>30</v>
      </c>
      <c r="Q64" s="4">
        <v>13</v>
      </c>
      <c r="R64" s="4">
        <v>751</v>
      </c>
      <c r="S64" s="4">
        <v>14</v>
      </c>
      <c r="T64" s="1">
        <v>21.048642725168644</v>
      </c>
      <c r="U64" t="s">
        <v>65</v>
      </c>
      <c r="V64" s="1">
        <v>1.8740014040443747</v>
      </c>
      <c r="W64" t="s">
        <v>57</v>
      </c>
      <c r="X64" t="s">
        <v>42</v>
      </c>
      <c r="Y64" s="1">
        <v>320.84651575911158</v>
      </c>
      <c r="Z64">
        <v>1</v>
      </c>
      <c r="AA64" s="4">
        <v>21</v>
      </c>
      <c r="AB64">
        <v>1407.3750544373254</v>
      </c>
      <c r="AD64"/>
      <c r="AE64"/>
    </row>
    <row r="65" spans="1:31" x14ac:dyDescent="0.25">
      <c r="A65" t="s">
        <v>34</v>
      </c>
      <c r="B65" t="s">
        <v>118</v>
      </c>
      <c r="C65" s="1">
        <v>13.017376785287857</v>
      </c>
      <c r="D65" s="3">
        <v>0.55000000000000004</v>
      </c>
      <c r="E65">
        <v>246</v>
      </c>
      <c r="F65">
        <v>4256.9491408502254</v>
      </c>
      <c r="G65" t="s">
        <v>27</v>
      </c>
      <c r="H65" s="4">
        <v>54</v>
      </c>
      <c r="I65" s="4">
        <v>19</v>
      </c>
      <c r="J65">
        <v>28</v>
      </c>
      <c r="K65" s="4">
        <v>10</v>
      </c>
      <c r="L65">
        <v>4</v>
      </c>
      <c r="M65" t="s">
        <v>37</v>
      </c>
      <c r="N65" s="1">
        <v>2.45793352798733</v>
      </c>
      <c r="O65" t="s">
        <v>29</v>
      </c>
      <c r="P65" t="s">
        <v>54</v>
      </c>
      <c r="Q65" s="4">
        <v>18</v>
      </c>
      <c r="R65" s="4">
        <v>736</v>
      </c>
      <c r="S65" s="4">
        <v>10</v>
      </c>
      <c r="T65" s="1">
        <v>20.075003975630484</v>
      </c>
      <c r="U65" t="s">
        <v>31</v>
      </c>
      <c r="V65" s="1">
        <v>3.6328432903821337</v>
      </c>
      <c r="W65" t="s">
        <v>57</v>
      </c>
      <c r="X65" t="s">
        <v>49</v>
      </c>
      <c r="Y65" s="1">
        <v>687.28617786641735</v>
      </c>
      <c r="Z65">
        <v>0</v>
      </c>
      <c r="AA65" s="4">
        <v>19</v>
      </c>
      <c r="AB65">
        <v>2673.7726617212502</v>
      </c>
      <c r="AD65"/>
      <c r="AE65"/>
    </row>
    <row r="66" spans="1:31" x14ac:dyDescent="0.25">
      <c r="A66" t="s">
        <v>34</v>
      </c>
      <c r="B66" t="s">
        <v>119</v>
      </c>
      <c r="C66" s="1">
        <v>89.634095608135326</v>
      </c>
      <c r="D66" s="3">
        <v>0.11</v>
      </c>
      <c r="E66">
        <v>134</v>
      </c>
      <c r="F66">
        <v>8458.7308783671779</v>
      </c>
      <c r="G66" t="s">
        <v>36</v>
      </c>
      <c r="H66" s="4">
        <v>73</v>
      </c>
      <c r="I66" s="4">
        <v>27</v>
      </c>
      <c r="J66">
        <v>23</v>
      </c>
      <c r="K66" s="4">
        <v>75</v>
      </c>
      <c r="L66">
        <v>6</v>
      </c>
      <c r="M66" t="s">
        <v>44</v>
      </c>
      <c r="N66" s="1">
        <v>4.5853534681946524</v>
      </c>
      <c r="O66" t="s">
        <v>40</v>
      </c>
      <c r="P66" t="s">
        <v>51</v>
      </c>
      <c r="Q66" s="4">
        <v>17</v>
      </c>
      <c r="R66" s="4">
        <v>328</v>
      </c>
      <c r="S66" s="4">
        <v>6</v>
      </c>
      <c r="T66" s="1">
        <v>8.6930424258772874</v>
      </c>
      <c r="U66" t="s">
        <v>47</v>
      </c>
      <c r="V66" s="1">
        <v>0.15948631471751462</v>
      </c>
      <c r="W66" t="s">
        <v>41</v>
      </c>
      <c r="X66" t="s">
        <v>42</v>
      </c>
      <c r="Y66" s="1">
        <v>771.22508468115745</v>
      </c>
      <c r="Z66">
        <v>0</v>
      </c>
      <c r="AA66" s="4">
        <v>27</v>
      </c>
      <c r="AB66">
        <v>52.311511227344795</v>
      </c>
      <c r="AD66"/>
      <c r="AE66"/>
    </row>
    <row r="67" spans="1:31" x14ac:dyDescent="0.25">
      <c r="A67" t="s">
        <v>34</v>
      </c>
      <c r="B67" t="s">
        <v>120</v>
      </c>
      <c r="C67" s="1">
        <v>33.697717206643127</v>
      </c>
      <c r="D67" s="3">
        <v>0.72</v>
      </c>
      <c r="E67">
        <v>457</v>
      </c>
      <c r="F67">
        <v>8354.5796864819949</v>
      </c>
      <c r="G67" t="s">
        <v>56</v>
      </c>
      <c r="H67" s="4">
        <v>57</v>
      </c>
      <c r="I67" s="4">
        <v>24</v>
      </c>
      <c r="J67">
        <v>37</v>
      </c>
      <c r="K67" s="4">
        <v>54</v>
      </c>
      <c r="L67">
        <v>8</v>
      </c>
      <c r="M67" t="s">
        <v>44</v>
      </c>
      <c r="N67" s="1">
        <v>6.5805413478845951</v>
      </c>
      <c r="O67" t="s">
        <v>45</v>
      </c>
      <c r="P67" t="s">
        <v>46</v>
      </c>
      <c r="Q67" s="4">
        <v>16</v>
      </c>
      <c r="R67" s="4">
        <v>358</v>
      </c>
      <c r="S67" s="4">
        <v>21</v>
      </c>
      <c r="T67" s="1">
        <v>1.5972227430506774</v>
      </c>
      <c r="U67" t="s">
        <v>47</v>
      </c>
      <c r="V67" s="1">
        <v>4.911095954842331</v>
      </c>
      <c r="W67" t="s">
        <v>48</v>
      </c>
      <c r="X67" t="s">
        <v>42</v>
      </c>
      <c r="Y67" s="1">
        <v>555.85910367174347</v>
      </c>
      <c r="Z67">
        <v>0</v>
      </c>
      <c r="AA67" s="4">
        <v>24</v>
      </c>
      <c r="AB67">
        <v>1758.1723518335546</v>
      </c>
      <c r="AD67"/>
      <c r="AE67"/>
    </row>
    <row r="68" spans="1:31" x14ac:dyDescent="0.25">
      <c r="A68" t="s">
        <v>34</v>
      </c>
      <c r="B68" t="s">
        <v>121</v>
      </c>
      <c r="C68" s="1">
        <v>26.034869773962086</v>
      </c>
      <c r="D68" s="3">
        <v>0.52</v>
      </c>
      <c r="E68">
        <v>704</v>
      </c>
      <c r="F68">
        <v>8367.721618020154</v>
      </c>
      <c r="G68" t="s">
        <v>36</v>
      </c>
      <c r="H68" s="4">
        <v>13</v>
      </c>
      <c r="I68" s="4">
        <v>17</v>
      </c>
      <c r="J68">
        <v>52</v>
      </c>
      <c r="K68" s="4">
        <v>19</v>
      </c>
      <c r="L68">
        <v>8</v>
      </c>
      <c r="M68" t="s">
        <v>37</v>
      </c>
      <c r="N68" s="1">
        <v>2.2161427287713633</v>
      </c>
      <c r="O68" t="s">
        <v>45</v>
      </c>
      <c r="P68" t="s">
        <v>46</v>
      </c>
      <c r="Q68" s="4">
        <v>24</v>
      </c>
      <c r="R68" s="4">
        <v>867</v>
      </c>
      <c r="S68" s="4">
        <v>28</v>
      </c>
      <c r="T68" s="1">
        <v>42.084436738309961</v>
      </c>
      <c r="U68" t="s">
        <v>47</v>
      </c>
      <c r="V68" s="1">
        <v>3.4480632883402618</v>
      </c>
      <c r="W68" t="s">
        <v>32</v>
      </c>
      <c r="X68" t="s">
        <v>49</v>
      </c>
      <c r="Y68" s="1">
        <v>393.84334857842788</v>
      </c>
      <c r="Z68">
        <v>1</v>
      </c>
      <c r="AA68" s="4">
        <v>36</v>
      </c>
      <c r="AB68">
        <v>2989.4708709910069</v>
      </c>
      <c r="AD68"/>
      <c r="AE68"/>
    </row>
    <row r="69" spans="1:31" x14ac:dyDescent="0.25">
      <c r="A69" t="s">
        <v>34</v>
      </c>
      <c r="B69" t="s">
        <v>122</v>
      </c>
      <c r="C69" s="1">
        <v>87.755432354001073</v>
      </c>
      <c r="D69" s="3">
        <v>0.16</v>
      </c>
      <c r="E69">
        <v>513</v>
      </c>
      <c r="F69">
        <v>9473.7980325083372</v>
      </c>
      <c r="G69" t="s">
        <v>39</v>
      </c>
      <c r="H69" s="4">
        <v>12</v>
      </c>
      <c r="I69" s="4">
        <v>9</v>
      </c>
      <c r="J69">
        <v>21</v>
      </c>
      <c r="K69" s="4">
        <v>71</v>
      </c>
      <c r="L69">
        <v>9</v>
      </c>
      <c r="M69" t="s">
        <v>44</v>
      </c>
      <c r="N69" s="1">
        <v>9.147811544710633</v>
      </c>
      <c r="O69" t="s">
        <v>40</v>
      </c>
      <c r="P69" t="s">
        <v>30</v>
      </c>
      <c r="Q69" s="4">
        <v>10</v>
      </c>
      <c r="R69" s="4">
        <v>198</v>
      </c>
      <c r="S69" s="4">
        <v>11</v>
      </c>
      <c r="T69" s="1">
        <v>7.0578761469782307</v>
      </c>
      <c r="U69" t="s">
        <v>65</v>
      </c>
      <c r="V69" s="1">
        <v>0.13195544431181483</v>
      </c>
      <c r="W69" t="s">
        <v>57</v>
      </c>
      <c r="X69" t="s">
        <v>42</v>
      </c>
      <c r="Y69" s="1">
        <v>169.2718013847869</v>
      </c>
      <c r="Z69">
        <v>1</v>
      </c>
      <c r="AA69" s="4">
        <v>20</v>
      </c>
      <c r="AB69">
        <v>26.127177973739336</v>
      </c>
      <c r="AD69"/>
      <c r="AE69"/>
    </row>
    <row r="70" spans="1:31" x14ac:dyDescent="0.25">
      <c r="A70" t="s">
        <v>25</v>
      </c>
      <c r="B70" t="s">
        <v>123</v>
      </c>
      <c r="C70" s="1">
        <v>37.931812382790319</v>
      </c>
      <c r="D70" s="3">
        <v>0.28999999999999998</v>
      </c>
      <c r="E70">
        <v>163</v>
      </c>
      <c r="F70">
        <v>3550.2184327809919</v>
      </c>
      <c r="G70" t="s">
        <v>27</v>
      </c>
      <c r="H70" s="4">
        <v>0</v>
      </c>
      <c r="I70" s="4">
        <v>8</v>
      </c>
      <c r="J70">
        <v>20</v>
      </c>
      <c r="K70" s="4">
        <v>58</v>
      </c>
      <c r="L70">
        <v>8</v>
      </c>
      <c r="M70" t="s">
        <v>28</v>
      </c>
      <c r="N70" s="1">
        <v>1.1942518648849991</v>
      </c>
      <c r="O70" t="s">
        <v>62</v>
      </c>
      <c r="P70" t="s">
        <v>54</v>
      </c>
      <c r="Q70" s="4">
        <v>2</v>
      </c>
      <c r="R70" s="4">
        <v>375</v>
      </c>
      <c r="S70" s="4">
        <v>18</v>
      </c>
      <c r="T70" s="1">
        <v>97.113581563462205</v>
      </c>
      <c r="U70" t="s">
        <v>47</v>
      </c>
      <c r="V70" s="1">
        <v>1.9834678721741801</v>
      </c>
      <c r="W70" t="s">
        <v>48</v>
      </c>
      <c r="X70" t="s">
        <v>49</v>
      </c>
      <c r="Y70" s="1">
        <v>299.70630311810316</v>
      </c>
      <c r="Z70">
        <v>1</v>
      </c>
      <c r="AA70" s="4">
        <v>26</v>
      </c>
      <c r="AB70">
        <v>743.80045206531759</v>
      </c>
      <c r="AD70"/>
      <c r="AE70"/>
    </row>
    <row r="71" spans="1:31" x14ac:dyDescent="0.25">
      <c r="A71" t="s">
        <v>34</v>
      </c>
      <c r="B71" t="s">
        <v>124</v>
      </c>
      <c r="C71" s="1">
        <v>54.865528517069791</v>
      </c>
      <c r="D71" s="3">
        <v>0.62</v>
      </c>
      <c r="E71">
        <v>511</v>
      </c>
      <c r="F71">
        <v>1752.3810874841247</v>
      </c>
      <c r="G71" t="s">
        <v>27</v>
      </c>
      <c r="H71" s="4">
        <v>95</v>
      </c>
      <c r="I71" s="4">
        <v>1</v>
      </c>
      <c r="J71">
        <v>16</v>
      </c>
      <c r="K71" s="4">
        <v>27</v>
      </c>
      <c r="L71">
        <v>3</v>
      </c>
      <c r="M71" t="s">
        <v>28</v>
      </c>
      <c r="N71" s="1">
        <v>9.7052867901203488</v>
      </c>
      <c r="O71" t="s">
        <v>53</v>
      </c>
      <c r="P71" t="s">
        <v>46</v>
      </c>
      <c r="Q71" s="4">
        <v>9</v>
      </c>
      <c r="R71" s="4">
        <v>862</v>
      </c>
      <c r="S71" s="4">
        <v>7</v>
      </c>
      <c r="T71" s="1">
        <v>77.627765812748166</v>
      </c>
      <c r="U71" t="s">
        <v>31</v>
      </c>
      <c r="V71" s="1">
        <v>1.3623879886491086</v>
      </c>
      <c r="W71" t="s">
        <v>41</v>
      </c>
      <c r="X71" t="s">
        <v>49</v>
      </c>
      <c r="Y71" s="1">
        <v>207.66320620857562</v>
      </c>
      <c r="Z71">
        <v>1</v>
      </c>
      <c r="AA71" s="4">
        <v>10</v>
      </c>
      <c r="AB71">
        <v>1174.3784462155315</v>
      </c>
      <c r="AD71"/>
      <c r="AE71"/>
    </row>
    <row r="72" spans="1:31" x14ac:dyDescent="0.25">
      <c r="A72" t="s">
        <v>25</v>
      </c>
      <c r="B72" t="s">
        <v>125</v>
      </c>
      <c r="C72" s="1">
        <v>47.914541824058766</v>
      </c>
      <c r="D72" s="3">
        <v>0.9</v>
      </c>
      <c r="E72">
        <v>32</v>
      </c>
      <c r="F72">
        <v>7014.8879872033885</v>
      </c>
      <c r="G72" t="s">
        <v>36</v>
      </c>
      <c r="H72" s="4">
        <v>10</v>
      </c>
      <c r="I72" s="4">
        <v>12</v>
      </c>
      <c r="J72">
        <v>38</v>
      </c>
      <c r="K72" s="4">
        <v>22</v>
      </c>
      <c r="L72">
        <v>4</v>
      </c>
      <c r="M72" t="s">
        <v>28</v>
      </c>
      <c r="N72" s="1">
        <v>6.3157177546007226</v>
      </c>
      <c r="O72" t="s">
        <v>40</v>
      </c>
      <c r="P72" t="s">
        <v>54</v>
      </c>
      <c r="Q72" s="4">
        <v>22</v>
      </c>
      <c r="R72" s="4">
        <v>775</v>
      </c>
      <c r="S72" s="4">
        <v>16</v>
      </c>
      <c r="T72" s="1">
        <v>11.440781823761265</v>
      </c>
      <c r="U72" t="s">
        <v>65</v>
      </c>
      <c r="V72" s="1">
        <v>1.8305755986122314</v>
      </c>
      <c r="W72" t="s">
        <v>32</v>
      </c>
      <c r="X72" t="s">
        <v>42</v>
      </c>
      <c r="Y72" s="1">
        <v>183.27289874871101</v>
      </c>
      <c r="Z72">
        <v>1</v>
      </c>
      <c r="AA72" s="4">
        <v>20</v>
      </c>
      <c r="AB72">
        <v>1418.6960889244792</v>
      </c>
      <c r="AD72"/>
      <c r="AE72"/>
    </row>
    <row r="73" spans="1:31" x14ac:dyDescent="0.25">
      <c r="A73" t="s">
        <v>58</v>
      </c>
      <c r="B73" t="s">
        <v>126</v>
      </c>
      <c r="C73" s="1">
        <v>6.3815331627479663</v>
      </c>
      <c r="D73" s="3">
        <v>0.14000000000000001</v>
      </c>
      <c r="E73">
        <v>637</v>
      </c>
      <c r="F73">
        <v>8180.3370854254426</v>
      </c>
      <c r="G73" t="s">
        <v>36</v>
      </c>
      <c r="H73" s="4">
        <v>76</v>
      </c>
      <c r="I73" s="4">
        <v>2</v>
      </c>
      <c r="J73">
        <v>12</v>
      </c>
      <c r="K73" s="4">
        <v>26</v>
      </c>
      <c r="L73">
        <v>6</v>
      </c>
      <c r="M73" t="s">
        <v>37</v>
      </c>
      <c r="N73" s="1">
        <v>9.2281903170525172</v>
      </c>
      <c r="O73" t="s">
        <v>62</v>
      </c>
      <c r="P73" t="s">
        <v>54</v>
      </c>
      <c r="Q73" s="4">
        <v>2</v>
      </c>
      <c r="R73" s="4">
        <v>258</v>
      </c>
      <c r="S73" s="4">
        <v>10</v>
      </c>
      <c r="T73" s="1">
        <v>30.661677477859556</v>
      </c>
      <c r="U73" t="s">
        <v>31</v>
      </c>
      <c r="V73" s="1">
        <v>2.0787506078749689</v>
      </c>
      <c r="W73" t="s">
        <v>32</v>
      </c>
      <c r="X73" t="s">
        <v>49</v>
      </c>
      <c r="Y73" s="1">
        <v>405.16706788885585</v>
      </c>
      <c r="Z73">
        <v>1</v>
      </c>
      <c r="AA73" s="4">
        <v>16</v>
      </c>
      <c r="AB73">
        <v>536.31765683174194</v>
      </c>
      <c r="AD73"/>
      <c r="AE73"/>
    </row>
    <row r="74" spans="1:31" x14ac:dyDescent="0.25">
      <c r="A74" t="s">
        <v>58</v>
      </c>
      <c r="B74" t="s">
        <v>127</v>
      </c>
      <c r="C74" s="1">
        <v>90.204427520528071</v>
      </c>
      <c r="D74" s="3">
        <v>0.88</v>
      </c>
      <c r="E74">
        <v>478</v>
      </c>
      <c r="F74">
        <v>2633.1219813122557</v>
      </c>
      <c r="G74" t="s">
        <v>27</v>
      </c>
      <c r="H74" s="4">
        <v>57</v>
      </c>
      <c r="I74" s="4">
        <v>29</v>
      </c>
      <c r="J74">
        <v>32</v>
      </c>
      <c r="K74" s="4">
        <v>77</v>
      </c>
      <c r="L74">
        <v>9</v>
      </c>
      <c r="M74" t="s">
        <v>37</v>
      </c>
      <c r="N74" s="1">
        <v>6.5996141596895441</v>
      </c>
      <c r="O74" t="s">
        <v>40</v>
      </c>
      <c r="P74" t="s">
        <v>54</v>
      </c>
      <c r="Q74" s="4">
        <v>21</v>
      </c>
      <c r="R74" s="4">
        <v>152</v>
      </c>
      <c r="S74" s="4">
        <v>11</v>
      </c>
      <c r="T74" s="1">
        <v>55.760492895244212</v>
      </c>
      <c r="U74" t="s">
        <v>31</v>
      </c>
      <c r="V74" s="1">
        <v>3.2133296074383089</v>
      </c>
      <c r="W74" t="s">
        <v>48</v>
      </c>
      <c r="X74" t="s">
        <v>33</v>
      </c>
      <c r="Y74" s="1">
        <v>677.9445698461833</v>
      </c>
      <c r="Z74">
        <v>0</v>
      </c>
      <c r="AA74" s="4">
        <v>29</v>
      </c>
      <c r="AB74">
        <v>488.42610033062294</v>
      </c>
      <c r="AD74"/>
      <c r="AE74"/>
    </row>
    <row r="75" spans="1:31" x14ac:dyDescent="0.25">
      <c r="A75" t="s">
        <v>58</v>
      </c>
      <c r="B75" t="s">
        <v>128</v>
      </c>
      <c r="C75" s="1">
        <v>83.851017681304597</v>
      </c>
      <c r="D75" s="3">
        <v>0.41</v>
      </c>
      <c r="E75">
        <v>375</v>
      </c>
      <c r="F75">
        <v>7910.8869161406856</v>
      </c>
      <c r="G75" t="s">
        <v>56</v>
      </c>
      <c r="H75" s="4">
        <v>17</v>
      </c>
      <c r="I75" s="4">
        <v>25</v>
      </c>
      <c r="J75">
        <v>17</v>
      </c>
      <c r="K75" s="4">
        <v>66</v>
      </c>
      <c r="L75">
        <v>5</v>
      </c>
      <c r="M75" t="s">
        <v>28</v>
      </c>
      <c r="N75" s="1">
        <v>1.5129368369160772</v>
      </c>
      <c r="O75" t="s">
        <v>53</v>
      </c>
      <c r="P75" t="s">
        <v>63</v>
      </c>
      <c r="Q75" s="4">
        <v>13</v>
      </c>
      <c r="R75" s="4">
        <v>444</v>
      </c>
      <c r="S75" s="4">
        <v>4</v>
      </c>
      <c r="T75" s="1">
        <v>46.870238797617155</v>
      </c>
      <c r="U75" t="s">
        <v>47</v>
      </c>
      <c r="V75" s="1">
        <v>4.6205460645137064</v>
      </c>
      <c r="W75" t="s">
        <v>32</v>
      </c>
      <c r="X75" t="s">
        <v>49</v>
      </c>
      <c r="Y75" s="1">
        <v>866.4728001296578</v>
      </c>
      <c r="Z75">
        <v>0</v>
      </c>
      <c r="AA75" s="4">
        <v>25</v>
      </c>
      <c r="AB75">
        <v>2051.5224526440857</v>
      </c>
      <c r="AD75"/>
      <c r="AE75"/>
    </row>
    <row r="76" spans="1:31" x14ac:dyDescent="0.25">
      <c r="A76" t="s">
        <v>25</v>
      </c>
      <c r="B76" t="s">
        <v>129</v>
      </c>
      <c r="C76" s="1">
        <v>3.1700114135661548</v>
      </c>
      <c r="D76" s="3">
        <v>0.64</v>
      </c>
      <c r="E76">
        <v>904</v>
      </c>
      <c r="F76">
        <v>5709.9452959692871</v>
      </c>
      <c r="G76" t="s">
        <v>36</v>
      </c>
      <c r="H76" s="4">
        <v>41</v>
      </c>
      <c r="I76" s="4">
        <v>6</v>
      </c>
      <c r="J76">
        <v>10</v>
      </c>
      <c r="K76" s="4">
        <v>1</v>
      </c>
      <c r="L76">
        <v>5</v>
      </c>
      <c r="M76" t="s">
        <v>37</v>
      </c>
      <c r="N76" s="1">
        <v>5.2376546500374479</v>
      </c>
      <c r="O76" t="s">
        <v>53</v>
      </c>
      <c r="P76" t="s">
        <v>51</v>
      </c>
      <c r="Q76" s="4">
        <v>1</v>
      </c>
      <c r="R76" s="4">
        <v>919</v>
      </c>
      <c r="S76" s="4">
        <v>9</v>
      </c>
      <c r="T76" s="1">
        <v>80.580852156447818</v>
      </c>
      <c r="U76" t="s">
        <v>47</v>
      </c>
      <c r="V76" s="1">
        <v>0.39661272410993542</v>
      </c>
      <c r="W76" t="s">
        <v>48</v>
      </c>
      <c r="X76" t="s">
        <v>49</v>
      </c>
      <c r="Y76" s="1">
        <v>341.55265678322337</v>
      </c>
      <c r="Z76">
        <v>1</v>
      </c>
      <c r="AA76" s="4">
        <v>14</v>
      </c>
      <c r="AB76">
        <v>364.48709345703065</v>
      </c>
      <c r="AD76"/>
      <c r="AE76"/>
    </row>
    <row r="77" spans="1:31" x14ac:dyDescent="0.25">
      <c r="A77" t="s">
        <v>34</v>
      </c>
      <c r="B77" t="s">
        <v>130</v>
      </c>
      <c r="C77" s="1">
        <v>92.996884233970661</v>
      </c>
      <c r="D77" s="3">
        <v>0.28999999999999998</v>
      </c>
      <c r="E77">
        <v>106</v>
      </c>
      <c r="F77">
        <v>1889.073589779335</v>
      </c>
      <c r="G77" t="s">
        <v>27</v>
      </c>
      <c r="H77" s="4">
        <v>16</v>
      </c>
      <c r="I77" s="4">
        <v>20</v>
      </c>
      <c r="J77">
        <v>36</v>
      </c>
      <c r="K77" s="4">
        <v>56</v>
      </c>
      <c r="L77">
        <v>10</v>
      </c>
      <c r="M77" t="s">
        <v>44</v>
      </c>
      <c r="N77" s="1">
        <v>2.4738977610454609</v>
      </c>
      <c r="O77" t="s">
        <v>40</v>
      </c>
      <c r="P77" t="s">
        <v>63</v>
      </c>
      <c r="Q77" s="4">
        <v>25</v>
      </c>
      <c r="R77" s="4">
        <v>759</v>
      </c>
      <c r="S77" s="4">
        <v>11</v>
      </c>
      <c r="T77" s="1">
        <v>48.064782640006591</v>
      </c>
      <c r="U77" t="s">
        <v>65</v>
      </c>
      <c r="V77" s="1">
        <v>2.0300690886687516</v>
      </c>
      <c r="W77" t="s">
        <v>41</v>
      </c>
      <c r="X77" t="s">
        <v>42</v>
      </c>
      <c r="Y77" s="1">
        <v>873.12964801765145</v>
      </c>
      <c r="Z77">
        <v>0</v>
      </c>
      <c r="AA77" s="4">
        <v>20</v>
      </c>
      <c r="AB77">
        <v>1540.8224382995825</v>
      </c>
      <c r="AD77"/>
      <c r="AE77"/>
    </row>
    <row r="78" spans="1:31" x14ac:dyDescent="0.25">
      <c r="A78" t="s">
        <v>25</v>
      </c>
      <c r="B78" t="s">
        <v>131</v>
      </c>
      <c r="C78" s="1">
        <v>69.108799547430323</v>
      </c>
      <c r="D78" s="3">
        <v>0.23</v>
      </c>
      <c r="E78">
        <v>241</v>
      </c>
      <c r="F78">
        <v>5328.3759842977579</v>
      </c>
      <c r="G78" t="s">
        <v>56</v>
      </c>
      <c r="H78" s="4">
        <v>38</v>
      </c>
      <c r="I78" s="4">
        <v>1</v>
      </c>
      <c r="J78">
        <v>49</v>
      </c>
      <c r="K78" s="4">
        <v>22</v>
      </c>
      <c r="L78">
        <v>10</v>
      </c>
      <c r="M78" t="s">
        <v>37</v>
      </c>
      <c r="N78" s="1">
        <v>7.0545383368369263</v>
      </c>
      <c r="O78" t="s">
        <v>62</v>
      </c>
      <c r="P78" t="s">
        <v>54</v>
      </c>
      <c r="Q78" s="4">
        <v>25</v>
      </c>
      <c r="R78" s="4">
        <v>985</v>
      </c>
      <c r="S78" s="4">
        <v>24</v>
      </c>
      <c r="T78" s="1">
        <v>64.323597795600222</v>
      </c>
      <c r="U78" t="s">
        <v>31</v>
      </c>
      <c r="V78" s="1">
        <v>2.1800374515822165</v>
      </c>
      <c r="W78" t="s">
        <v>48</v>
      </c>
      <c r="X78" t="s">
        <v>49</v>
      </c>
      <c r="Y78" s="1">
        <v>997.4134501331946</v>
      </c>
      <c r="Z78">
        <v>1</v>
      </c>
      <c r="AA78" s="4">
        <v>34</v>
      </c>
      <c r="AB78">
        <v>2147.3368898084832</v>
      </c>
      <c r="AD78"/>
      <c r="AE78"/>
    </row>
    <row r="79" spans="1:31" x14ac:dyDescent="0.25">
      <c r="A79" t="s">
        <v>25</v>
      </c>
      <c r="B79" t="s">
        <v>132</v>
      </c>
      <c r="C79" s="1">
        <v>57.449742958971477</v>
      </c>
      <c r="D79" s="3">
        <v>0.14000000000000001</v>
      </c>
      <c r="E79">
        <v>359</v>
      </c>
      <c r="F79">
        <v>2483.7601775427947</v>
      </c>
      <c r="G79" t="s">
        <v>39</v>
      </c>
      <c r="H79" s="4">
        <v>96</v>
      </c>
      <c r="I79" s="4">
        <v>28</v>
      </c>
      <c r="J79">
        <v>31</v>
      </c>
      <c r="K79" s="4">
        <v>57</v>
      </c>
      <c r="L79">
        <v>4</v>
      </c>
      <c r="M79" t="s">
        <v>28</v>
      </c>
      <c r="N79" s="1">
        <v>6.7809466256178954</v>
      </c>
      <c r="O79" t="s">
        <v>40</v>
      </c>
      <c r="P79" t="s">
        <v>46</v>
      </c>
      <c r="Q79" s="4">
        <v>26</v>
      </c>
      <c r="R79" s="4">
        <v>334</v>
      </c>
      <c r="S79" s="4">
        <v>5</v>
      </c>
      <c r="T79" s="1">
        <v>42.952444748991837</v>
      </c>
      <c r="U79" t="s">
        <v>65</v>
      </c>
      <c r="V79" s="1">
        <v>3.0551418183075478</v>
      </c>
      <c r="W79" t="s">
        <v>32</v>
      </c>
      <c r="X79" t="s">
        <v>33</v>
      </c>
      <c r="Y79" s="1">
        <v>852.56809891984994</v>
      </c>
      <c r="Z79">
        <v>0</v>
      </c>
      <c r="AA79" s="4">
        <v>28</v>
      </c>
      <c r="AB79">
        <v>1020.417367314721</v>
      </c>
      <c r="AD79"/>
      <c r="AE79"/>
    </row>
    <row r="80" spans="1:31" x14ac:dyDescent="0.25">
      <c r="A80" t="s">
        <v>25</v>
      </c>
      <c r="B80" t="s">
        <v>133</v>
      </c>
      <c r="C80" s="1">
        <v>6.3068831761119153</v>
      </c>
      <c r="D80" s="3">
        <v>0.5</v>
      </c>
      <c r="E80">
        <v>946</v>
      </c>
      <c r="F80">
        <v>1292.4584179377562</v>
      </c>
      <c r="G80" t="s">
        <v>39</v>
      </c>
      <c r="H80" s="4">
        <v>5</v>
      </c>
      <c r="I80" s="4">
        <v>4</v>
      </c>
      <c r="J80">
        <v>46</v>
      </c>
      <c r="K80" s="4">
        <v>51</v>
      </c>
      <c r="L80">
        <v>5</v>
      </c>
      <c r="M80" t="s">
        <v>28</v>
      </c>
      <c r="N80" s="1">
        <v>8.4670497708619905</v>
      </c>
      <c r="O80" t="s">
        <v>45</v>
      </c>
      <c r="P80" t="s">
        <v>30</v>
      </c>
      <c r="Q80" s="4">
        <v>25</v>
      </c>
      <c r="R80" s="4">
        <v>858</v>
      </c>
      <c r="S80" s="4">
        <v>21</v>
      </c>
      <c r="T80" s="1">
        <v>71.126514720403378</v>
      </c>
      <c r="U80" t="s">
        <v>31</v>
      </c>
      <c r="V80" s="1">
        <v>4.0968813324704518</v>
      </c>
      <c r="W80" t="s">
        <v>57</v>
      </c>
      <c r="X80" t="s">
        <v>42</v>
      </c>
      <c r="Y80" s="1">
        <v>323.59220343132216</v>
      </c>
      <c r="Z80">
        <v>1</v>
      </c>
      <c r="AA80" s="4">
        <v>26</v>
      </c>
      <c r="AB80">
        <v>3515.1241832596475</v>
      </c>
      <c r="AD80"/>
      <c r="AE80"/>
    </row>
    <row r="81" spans="1:31" x14ac:dyDescent="0.25">
      <c r="A81" t="s">
        <v>25</v>
      </c>
      <c r="B81" t="s">
        <v>134</v>
      </c>
      <c r="C81" s="1">
        <v>57.057031221103223</v>
      </c>
      <c r="D81" s="3">
        <v>0.56000000000000005</v>
      </c>
      <c r="E81">
        <v>198</v>
      </c>
      <c r="F81">
        <v>7888.7232684270812</v>
      </c>
      <c r="G81" t="s">
        <v>27</v>
      </c>
      <c r="H81" s="4">
        <v>31</v>
      </c>
      <c r="I81" s="4">
        <v>25</v>
      </c>
      <c r="J81">
        <v>17</v>
      </c>
      <c r="K81" s="4">
        <v>20</v>
      </c>
      <c r="L81">
        <v>1</v>
      </c>
      <c r="M81" t="s">
        <v>28</v>
      </c>
      <c r="N81" s="1">
        <v>6.4963253642950445</v>
      </c>
      <c r="O81" t="s">
        <v>29</v>
      </c>
      <c r="P81" t="s">
        <v>54</v>
      </c>
      <c r="Q81" s="4">
        <v>5</v>
      </c>
      <c r="R81" s="4">
        <v>228</v>
      </c>
      <c r="S81" s="4">
        <v>12</v>
      </c>
      <c r="T81" s="1">
        <v>57.87090292403628</v>
      </c>
      <c r="U81" t="s">
        <v>31</v>
      </c>
      <c r="V81" s="1">
        <v>0.16587162748060824</v>
      </c>
      <c r="W81" t="s">
        <v>41</v>
      </c>
      <c r="X81" t="s">
        <v>42</v>
      </c>
      <c r="Y81" s="1">
        <v>351.50421933503867</v>
      </c>
      <c r="Z81">
        <v>0</v>
      </c>
      <c r="AA81" s="4">
        <v>25</v>
      </c>
      <c r="AB81">
        <v>37.818731065578682</v>
      </c>
      <c r="AD81"/>
      <c r="AE81"/>
    </row>
    <row r="82" spans="1:31" x14ac:dyDescent="0.25">
      <c r="A82" t="s">
        <v>34</v>
      </c>
      <c r="B82" t="s">
        <v>135</v>
      </c>
      <c r="C82" s="1">
        <v>91.128318350444331</v>
      </c>
      <c r="D82" s="3">
        <v>0.75</v>
      </c>
      <c r="E82">
        <v>872</v>
      </c>
      <c r="F82">
        <v>8651.6726829820655</v>
      </c>
      <c r="G82" t="s">
        <v>39</v>
      </c>
      <c r="H82" s="4">
        <v>39</v>
      </c>
      <c r="I82" s="4">
        <v>14</v>
      </c>
      <c r="J82">
        <v>13</v>
      </c>
      <c r="K82" s="4">
        <v>41</v>
      </c>
      <c r="L82">
        <v>2</v>
      </c>
      <c r="M82" t="s">
        <v>44</v>
      </c>
      <c r="N82" s="1">
        <v>2.8331846794189746</v>
      </c>
      <c r="O82" t="s">
        <v>29</v>
      </c>
      <c r="P82" t="s">
        <v>63</v>
      </c>
      <c r="Q82" s="4">
        <v>8</v>
      </c>
      <c r="R82" s="4">
        <v>202</v>
      </c>
      <c r="S82" s="4">
        <v>5</v>
      </c>
      <c r="T82" s="1">
        <v>76.961228023820013</v>
      </c>
      <c r="U82" t="s">
        <v>47</v>
      </c>
      <c r="V82" s="1">
        <v>2.8496621985053308</v>
      </c>
      <c r="W82" t="s">
        <v>57</v>
      </c>
      <c r="X82" t="s">
        <v>33</v>
      </c>
      <c r="Y82" s="1">
        <v>787.77985049434449</v>
      </c>
      <c r="Z82">
        <v>0</v>
      </c>
      <c r="AA82" s="4">
        <v>14</v>
      </c>
      <c r="AB82">
        <v>575.63176409807681</v>
      </c>
      <c r="AD82"/>
      <c r="AE82"/>
    </row>
    <row r="83" spans="1:31" x14ac:dyDescent="0.25">
      <c r="A83" t="s">
        <v>25</v>
      </c>
      <c r="B83" t="s">
        <v>136</v>
      </c>
      <c r="C83" s="1">
        <v>72.819206930318217</v>
      </c>
      <c r="D83" s="3">
        <v>0.09</v>
      </c>
      <c r="E83">
        <v>774</v>
      </c>
      <c r="F83">
        <v>4384.4134000458625</v>
      </c>
      <c r="G83" t="s">
        <v>39</v>
      </c>
      <c r="H83" s="4">
        <v>48</v>
      </c>
      <c r="I83" s="4">
        <v>6</v>
      </c>
      <c r="J83">
        <v>29</v>
      </c>
      <c r="K83" s="4">
        <v>8</v>
      </c>
      <c r="L83">
        <v>5</v>
      </c>
      <c r="M83" t="s">
        <v>28</v>
      </c>
      <c r="N83" s="1">
        <v>4.0662775015120438</v>
      </c>
      <c r="O83" t="s">
        <v>29</v>
      </c>
      <c r="P83" t="s">
        <v>51</v>
      </c>
      <c r="Q83" s="4">
        <v>28</v>
      </c>
      <c r="R83" s="4">
        <v>698</v>
      </c>
      <c r="S83" s="4">
        <v>1</v>
      </c>
      <c r="T83" s="1">
        <v>19.789592941903603</v>
      </c>
      <c r="U83" t="s">
        <v>31</v>
      </c>
      <c r="V83" s="1">
        <v>2.5475471215487118</v>
      </c>
      <c r="W83" t="s">
        <v>48</v>
      </c>
      <c r="X83" t="s">
        <v>33</v>
      </c>
      <c r="Y83" s="1">
        <v>276.77833594679885</v>
      </c>
      <c r="Z83">
        <v>0</v>
      </c>
      <c r="AA83" s="4">
        <v>6</v>
      </c>
      <c r="AB83">
        <v>1778.1878908410008</v>
      </c>
      <c r="AD83"/>
      <c r="AE83"/>
    </row>
    <row r="84" spans="1:31" x14ac:dyDescent="0.25">
      <c r="A84" t="s">
        <v>34</v>
      </c>
      <c r="B84" t="s">
        <v>137</v>
      </c>
      <c r="C84" s="1">
        <v>17.034930739467917</v>
      </c>
      <c r="D84" s="3">
        <v>0.13</v>
      </c>
      <c r="E84">
        <v>336</v>
      </c>
      <c r="F84">
        <v>2943.3818676094515</v>
      </c>
      <c r="G84" t="s">
        <v>39</v>
      </c>
      <c r="H84" s="4">
        <v>42</v>
      </c>
      <c r="I84" s="4">
        <v>19</v>
      </c>
      <c r="J84">
        <v>32</v>
      </c>
      <c r="K84" s="4">
        <v>72</v>
      </c>
      <c r="L84">
        <v>1</v>
      </c>
      <c r="M84" t="s">
        <v>37</v>
      </c>
      <c r="N84" s="1">
        <v>4.7081818735419301</v>
      </c>
      <c r="O84" t="s">
        <v>62</v>
      </c>
      <c r="P84" t="s">
        <v>30</v>
      </c>
      <c r="Q84" s="4">
        <v>6</v>
      </c>
      <c r="R84" s="4">
        <v>955</v>
      </c>
      <c r="S84" s="4">
        <v>26</v>
      </c>
      <c r="T84" s="1">
        <v>4.4652784349432402</v>
      </c>
      <c r="U84" t="s">
        <v>31</v>
      </c>
      <c r="V84" s="1">
        <v>4.1378770486223573</v>
      </c>
      <c r="W84" t="s">
        <v>32</v>
      </c>
      <c r="X84" t="s">
        <v>42</v>
      </c>
      <c r="Y84" s="1">
        <v>589.97855562804068</v>
      </c>
      <c r="Z84">
        <v>1</v>
      </c>
      <c r="AA84" s="4">
        <v>27</v>
      </c>
      <c r="AB84">
        <v>3951.6725814343513</v>
      </c>
      <c r="AD84"/>
      <c r="AE84"/>
    </row>
    <row r="85" spans="1:31" x14ac:dyDescent="0.25">
      <c r="A85" t="s">
        <v>25</v>
      </c>
      <c r="B85" t="s">
        <v>138</v>
      </c>
      <c r="C85" s="1">
        <v>68.911246211606326</v>
      </c>
      <c r="D85" s="3">
        <v>0.82</v>
      </c>
      <c r="E85">
        <v>663</v>
      </c>
      <c r="F85">
        <v>2411.754632110491</v>
      </c>
      <c r="G85" t="s">
        <v>39</v>
      </c>
      <c r="H85" s="4">
        <v>65</v>
      </c>
      <c r="I85" s="4">
        <v>24</v>
      </c>
      <c r="J85">
        <v>25</v>
      </c>
      <c r="K85" s="4">
        <v>7</v>
      </c>
      <c r="L85">
        <v>8</v>
      </c>
      <c r="M85" t="s">
        <v>28</v>
      </c>
      <c r="N85" s="1">
        <v>4.9498395779969488</v>
      </c>
      <c r="O85" t="s">
        <v>40</v>
      </c>
      <c r="P85" t="s">
        <v>54</v>
      </c>
      <c r="Q85" s="4">
        <v>20</v>
      </c>
      <c r="R85" s="4">
        <v>443</v>
      </c>
      <c r="S85" s="4">
        <v>5</v>
      </c>
      <c r="T85" s="1">
        <v>97.730593800533043</v>
      </c>
      <c r="U85" t="s">
        <v>47</v>
      </c>
      <c r="V85" s="1">
        <v>0.77300613406724783</v>
      </c>
      <c r="W85" t="s">
        <v>32</v>
      </c>
      <c r="X85" t="s">
        <v>49</v>
      </c>
      <c r="Y85" s="1">
        <v>682.97101822609329</v>
      </c>
      <c r="Z85">
        <v>0</v>
      </c>
      <c r="AA85" s="4">
        <v>24</v>
      </c>
      <c r="AB85">
        <v>342.4417173917908</v>
      </c>
      <c r="AD85"/>
      <c r="AE85"/>
    </row>
    <row r="86" spans="1:31" x14ac:dyDescent="0.25">
      <c r="A86" t="s">
        <v>25</v>
      </c>
      <c r="B86" t="s">
        <v>139</v>
      </c>
      <c r="C86" s="1">
        <v>89.104367292102253</v>
      </c>
      <c r="D86" s="3">
        <v>0.99</v>
      </c>
      <c r="E86">
        <v>618</v>
      </c>
      <c r="F86">
        <v>2048.2900998487103</v>
      </c>
      <c r="G86" t="s">
        <v>39</v>
      </c>
      <c r="H86" s="4">
        <v>73</v>
      </c>
      <c r="I86" s="4">
        <v>26</v>
      </c>
      <c r="J86">
        <v>46</v>
      </c>
      <c r="K86" s="4">
        <v>80</v>
      </c>
      <c r="L86">
        <v>10</v>
      </c>
      <c r="M86" t="s">
        <v>37</v>
      </c>
      <c r="N86" s="1">
        <v>8.381615624922631</v>
      </c>
      <c r="O86" t="s">
        <v>45</v>
      </c>
      <c r="P86" t="s">
        <v>63</v>
      </c>
      <c r="Q86" s="4">
        <v>24</v>
      </c>
      <c r="R86" s="4">
        <v>589</v>
      </c>
      <c r="S86" s="4">
        <v>22</v>
      </c>
      <c r="T86" s="1">
        <v>33.808636513209095</v>
      </c>
      <c r="U86" t="s">
        <v>65</v>
      </c>
      <c r="V86" s="1">
        <v>4.8434565771180411</v>
      </c>
      <c r="W86" t="s">
        <v>41</v>
      </c>
      <c r="X86" t="s">
        <v>33</v>
      </c>
      <c r="Y86" s="1">
        <v>465.45700596368795</v>
      </c>
      <c r="Z86">
        <v>0</v>
      </c>
      <c r="AA86" s="4">
        <v>26</v>
      </c>
      <c r="AB86">
        <v>2852.7959239225261</v>
      </c>
      <c r="AD86"/>
      <c r="AE86"/>
    </row>
    <row r="87" spans="1:31" x14ac:dyDescent="0.25">
      <c r="A87" t="s">
        <v>58</v>
      </c>
      <c r="B87" t="s">
        <v>140</v>
      </c>
      <c r="C87" s="1">
        <v>76.962994415193876</v>
      </c>
      <c r="D87" s="3">
        <v>0.83</v>
      </c>
      <c r="E87">
        <v>25</v>
      </c>
      <c r="F87">
        <v>8684.6130592538575</v>
      </c>
      <c r="G87" t="s">
        <v>36</v>
      </c>
      <c r="H87" s="4">
        <v>15</v>
      </c>
      <c r="I87" s="4">
        <v>18</v>
      </c>
      <c r="J87">
        <v>6</v>
      </c>
      <c r="K87" s="4">
        <v>66</v>
      </c>
      <c r="L87">
        <v>2</v>
      </c>
      <c r="M87" t="s">
        <v>44</v>
      </c>
      <c r="N87" s="1">
        <v>8.2491687048717282</v>
      </c>
      <c r="O87" t="s">
        <v>45</v>
      </c>
      <c r="P87" t="s">
        <v>63</v>
      </c>
      <c r="Q87" s="4">
        <v>4</v>
      </c>
      <c r="R87" s="4">
        <v>211</v>
      </c>
      <c r="S87" s="4">
        <v>2</v>
      </c>
      <c r="T87" s="1">
        <v>69.929345518672307</v>
      </c>
      <c r="U87" t="s">
        <v>47</v>
      </c>
      <c r="V87" s="1">
        <v>1.3744289997457582</v>
      </c>
      <c r="W87" t="s">
        <v>32</v>
      </c>
      <c r="X87" t="s">
        <v>33</v>
      </c>
      <c r="Y87" s="1">
        <v>842.68683000464148</v>
      </c>
      <c r="Z87">
        <v>0</v>
      </c>
      <c r="AA87" s="4">
        <v>18</v>
      </c>
      <c r="AB87">
        <v>290.00451894635495</v>
      </c>
      <c r="AD87"/>
      <c r="AE87"/>
    </row>
    <row r="88" spans="1:31" x14ac:dyDescent="0.25">
      <c r="A88" t="s">
        <v>34</v>
      </c>
      <c r="B88" t="s">
        <v>141</v>
      </c>
      <c r="C88" s="1">
        <v>19.998176940404221</v>
      </c>
      <c r="D88" s="3">
        <v>0.18</v>
      </c>
      <c r="E88">
        <v>223</v>
      </c>
      <c r="F88">
        <v>1229.5910285649834</v>
      </c>
      <c r="G88" t="s">
        <v>39</v>
      </c>
      <c r="H88" s="4">
        <v>32</v>
      </c>
      <c r="I88" s="4">
        <v>14</v>
      </c>
      <c r="J88">
        <v>22</v>
      </c>
      <c r="K88" s="4">
        <v>22</v>
      </c>
      <c r="L88">
        <v>6</v>
      </c>
      <c r="M88" t="s">
        <v>28</v>
      </c>
      <c r="N88" s="1">
        <v>1.4543053101535515</v>
      </c>
      <c r="O88" t="s">
        <v>40</v>
      </c>
      <c r="P88" t="s">
        <v>30</v>
      </c>
      <c r="Q88" s="4">
        <v>4</v>
      </c>
      <c r="R88" s="4">
        <v>569</v>
      </c>
      <c r="S88" s="4">
        <v>18</v>
      </c>
      <c r="T88" s="1">
        <v>74.608969995194684</v>
      </c>
      <c r="U88" t="s">
        <v>65</v>
      </c>
      <c r="V88" s="1">
        <v>2.0515129307662465</v>
      </c>
      <c r="W88" t="s">
        <v>48</v>
      </c>
      <c r="X88" t="s">
        <v>49</v>
      </c>
      <c r="Y88" s="1">
        <v>264.25488983586649</v>
      </c>
      <c r="Z88">
        <v>1</v>
      </c>
      <c r="AA88" s="4">
        <v>24</v>
      </c>
      <c r="AB88">
        <v>1167.3108576059942</v>
      </c>
      <c r="AD88"/>
      <c r="AE88"/>
    </row>
    <row r="89" spans="1:31" x14ac:dyDescent="0.25">
      <c r="A89" t="s">
        <v>25</v>
      </c>
      <c r="B89" t="s">
        <v>142</v>
      </c>
      <c r="C89" s="1">
        <v>80.41403665035574</v>
      </c>
      <c r="D89" s="3">
        <v>0.24</v>
      </c>
      <c r="E89">
        <v>79</v>
      </c>
      <c r="F89">
        <v>5133.8467010866916</v>
      </c>
      <c r="G89" t="s">
        <v>56</v>
      </c>
      <c r="H89" s="4">
        <v>5</v>
      </c>
      <c r="I89" s="4">
        <v>7</v>
      </c>
      <c r="J89">
        <v>44</v>
      </c>
      <c r="K89" s="4">
        <v>55</v>
      </c>
      <c r="L89">
        <v>10</v>
      </c>
      <c r="M89" t="s">
        <v>37</v>
      </c>
      <c r="N89" s="1">
        <v>6.5758037975485353</v>
      </c>
      <c r="O89" t="s">
        <v>29</v>
      </c>
      <c r="P89" t="s">
        <v>63</v>
      </c>
      <c r="Q89" s="4">
        <v>27</v>
      </c>
      <c r="R89" s="4">
        <v>523</v>
      </c>
      <c r="S89" s="4">
        <v>17</v>
      </c>
      <c r="T89" s="1">
        <v>28.69699682414317</v>
      </c>
      <c r="U89" t="s">
        <v>47</v>
      </c>
      <c r="V89" s="1">
        <v>3.6937377878392756</v>
      </c>
      <c r="W89" t="s">
        <v>57</v>
      </c>
      <c r="X89" t="s">
        <v>33</v>
      </c>
      <c r="Y89" s="1">
        <v>879.3592177349243</v>
      </c>
      <c r="Z89">
        <v>1</v>
      </c>
      <c r="AA89" s="4">
        <v>27</v>
      </c>
      <c r="AB89">
        <v>1931.8248630399412</v>
      </c>
      <c r="AD89"/>
      <c r="AE89"/>
    </row>
    <row r="90" spans="1:31" x14ac:dyDescent="0.25">
      <c r="A90" t="s">
        <v>58</v>
      </c>
      <c r="B90" t="s">
        <v>143</v>
      </c>
      <c r="C90" s="1">
        <v>75.27040697572501</v>
      </c>
      <c r="D90" s="3">
        <v>0.57999999999999996</v>
      </c>
      <c r="E90">
        <v>737</v>
      </c>
      <c r="F90">
        <v>9444.7420330629793</v>
      </c>
      <c r="G90" t="s">
        <v>56</v>
      </c>
      <c r="H90" s="4">
        <v>60</v>
      </c>
      <c r="I90" s="4">
        <v>18</v>
      </c>
      <c r="J90">
        <v>32</v>
      </c>
      <c r="K90" s="4">
        <v>85</v>
      </c>
      <c r="L90">
        <v>7</v>
      </c>
      <c r="M90" t="s">
        <v>37</v>
      </c>
      <c r="N90" s="1">
        <v>3.8012531329310777</v>
      </c>
      <c r="O90" t="s">
        <v>62</v>
      </c>
      <c r="P90" t="s">
        <v>30</v>
      </c>
      <c r="Q90" s="4">
        <v>21</v>
      </c>
      <c r="R90" s="4">
        <v>953</v>
      </c>
      <c r="S90" s="4">
        <v>11</v>
      </c>
      <c r="T90" s="1">
        <v>68.184919057041171</v>
      </c>
      <c r="U90" t="s">
        <v>31</v>
      </c>
      <c r="V90" s="1">
        <v>0.722204401882931</v>
      </c>
      <c r="W90" t="s">
        <v>57</v>
      </c>
      <c r="X90" t="s">
        <v>49</v>
      </c>
      <c r="Y90" s="1">
        <v>103.91624796070495</v>
      </c>
      <c r="Z90">
        <v>0</v>
      </c>
      <c r="AA90" s="4">
        <v>18</v>
      </c>
      <c r="AB90">
        <v>688.26079499443324</v>
      </c>
      <c r="AD90"/>
      <c r="AE90"/>
    </row>
    <row r="91" spans="1:31" x14ac:dyDescent="0.25">
      <c r="A91" t="s">
        <v>58</v>
      </c>
      <c r="B91" t="s">
        <v>144</v>
      </c>
      <c r="C91" s="1">
        <v>97.760085581938668</v>
      </c>
      <c r="D91" s="3">
        <v>0.1</v>
      </c>
      <c r="E91">
        <v>134</v>
      </c>
      <c r="F91">
        <v>5924.682566853231</v>
      </c>
      <c r="G91" t="s">
        <v>39</v>
      </c>
      <c r="H91" s="4">
        <v>90</v>
      </c>
      <c r="I91" s="4">
        <v>1</v>
      </c>
      <c r="J91">
        <v>34</v>
      </c>
      <c r="K91" s="4">
        <v>27</v>
      </c>
      <c r="L91">
        <v>8</v>
      </c>
      <c r="M91" t="s">
        <v>28</v>
      </c>
      <c r="N91" s="1">
        <v>9.9298162452772587</v>
      </c>
      <c r="O91" t="s">
        <v>40</v>
      </c>
      <c r="P91" t="s">
        <v>46</v>
      </c>
      <c r="Q91" s="4">
        <v>23</v>
      </c>
      <c r="R91" s="4">
        <v>370</v>
      </c>
      <c r="S91" s="4">
        <v>11</v>
      </c>
      <c r="T91" s="1">
        <v>46.603873381644469</v>
      </c>
      <c r="U91" t="s">
        <v>31</v>
      </c>
      <c r="V91" s="1">
        <v>1.9076657339590746</v>
      </c>
      <c r="W91" t="s">
        <v>48</v>
      </c>
      <c r="X91" t="s">
        <v>33</v>
      </c>
      <c r="Y91" s="1">
        <v>517.4999739290605</v>
      </c>
      <c r="Z91">
        <v>1</v>
      </c>
      <c r="AA91" s="4">
        <v>19</v>
      </c>
      <c r="AB91">
        <v>705.8363215648576</v>
      </c>
      <c r="AD91"/>
      <c r="AE91"/>
    </row>
    <row r="92" spans="1:31" x14ac:dyDescent="0.25">
      <c r="A92" t="s">
        <v>34</v>
      </c>
      <c r="B92" t="s">
        <v>145</v>
      </c>
      <c r="C92" s="1">
        <v>13.881913501359142</v>
      </c>
      <c r="D92" s="3">
        <v>0.56000000000000005</v>
      </c>
      <c r="E92">
        <v>320</v>
      </c>
      <c r="F92">
        <v>9592.6335702803117</v>
      </c>
      <c r="G92" t="s">
        <v>27</v>
      </c>
      <c r="H92" s="4">
        <v>66</v>
      </c>
      <c r="I92" s="4">
        <v>18</v>
      </c>
      <c r="J92">
        <v>16</v>
      </c>
      <c r="K92" s="4">
        <v>96</v>
      </c>
      <c r="L92">
        <v>7</v>
      </c>
      <c r="M92" t="s">
        <v>28</v>
      </c>
      <c r="N92" s="1">
        <v>7.6744307081126939</v>
      </c>
      <c r="O92" t="s">
        <v>29</v>
      </c>
      <c r="P92" t="s">
        <v>54</v>
      </c>
      <c r="Q92" s="4">
        <v>8</v>
      </c>
      <c r="R92" s="4">
        <v>585</v>
      </c>
      <c r="S92" s="4">
        <v>8</v>
      </c>
      <c r="T92" s="1">
        <v>85.675963335797974</v>
      </c>
      <c r="U92" t="s">
        <v>65</v>
      </c>
      <c r="V92" s="1">
        <v>1.2193822244013885</v>
      </c>
      <c r="W92" t="s">
        <v>48</v>
      </c>
      <c r="X92" t="s">
        <v>33</v>
      </c>
      <c r="Y92" s="1">
        <v>990.07847250581119</v>
      </c>
      <c r="Z92">
        <v>0</v>
      </c>
      <c r="AA92" s="4">
        <v>18</v>
      </c>
      <c r="AB92">
        <v>713.33860127481228</v>
      </c>
      <c r="AD92"/>
      <c r="AE92"/>
    </row>
    <row r="93" spans="1:31" x14ac:dyDescent="0.25">
      <c r="A93" t="s">
        <v>58</v>
      </c>
      <c r="B93" t="s">
        <v>146</v>
      </c>
      <c r="C93" s="1">
        <v>62.111965463961788</v>
      </c>
      <c r="D93" s="3">
        <v>0.9</v>
      </c>
      <c r="E93">
        <v>916</v>
      </c>
      <c r="F93">
        <v>1935.2067935075991</v>
      </c>
      <c r="G93" t="s">
        <v>56</v>
      </c>
      <c r="H93" s="4">
        <v>98</v>
      </c>
      <c r="I93" s="4">
        <v>22</v>
      </c>
      <c r="J93">
        <v>33</v>
      </c>
      <c r="K93" s="4">
        <v>85</v>
      </c>
      <c r="L93">
        <v>7</v>
      </c>
      <c r="M93" t="s">
        <v>28</v>
      </c>
      <c r="N93" s="1">
        <v>7.4715140844011456</v>
      </c>
      <c r="O93" t="s">
        <v>53</v>
      </c>
      <c r="P93" t="s">
        <v>51</v>
      </c>
      <c r="Q93" s="4">
        <v>5</v>
      </c>
      <c r="R93" s="4">
        <v>207</v>
      </c>
      <c r="S93" s="4">
        <v>28</v>
      </c>
      <c r="T93" s="1">
        <v>39.772882502339975</v>
      </c>
      <c r="U93" t="s">
        <v>31</v>
      </c>
      <c r="V93" s="1">
        <v>0.62600185820939458</v>
      </c>
      <c r="W93" t="s">
        <v>48</v>
      </c>
      <c r="X93" t="s">
        <v>33</v>
      </c>
      <c r="Y93" s="1">
        <v>996.77831495062378</v>
      </c>
      <c r="Z93">
        <v>1</v>
      </c>
      <c r="AA93" s="4">
        <v>35</v>
      </c>
      <c r="AB93">
        <v>129.58238464934468</v>
      </c>
      <c r="AD93"/>
      <c r="AE93"/>
    </row>
    <row r="94" spans="1:31" x14ac:dyDescent="0.25">
      <c r="A94" t="s">
        <v>58</v>
      </c>
      <c r="B94" t="s">
        <v>147</v>
      </c>
      <c r="C94" s="1">
        <v>47.714233075820232</v>
      </c>
      <c r="D94" s="3">
        <v>0.44</v>
      </c>
      <c r="E94">
        <v>276</v>
      </c>
      <c r="F94">
        <v>2100.1297546259366</v>
      </c>
      <c r="G94" t="s">
        <v>56</v>
      </c>
      <c r="H94" s="4">
        <v>90</v>
      </c>
      <c r="I94" s="4">
        <v>25</v>
      </c>
      <c r="J94">
        <v>33</v>
      </c>
      <c r="K94" s="4">
        <v>10</v>
      </c>
      <c r="L94">
        <v>8</v>
      </c>
      <c r="M94" t="s">
        <v>28</v>
      </c>
      <c r="N94" s="1">
        <v>4.4695000261236011</v>
      </c>
      <c r="O94" t="s">
        <v>62</v>
      </c>
      <c r="P94" t="s">
        <v>30</v>
      </c>
      <c r="Q94" s="4">
        <v>4</v>
      </c>
      <c r="R94" s="4">
        <v>671</v>
      </c>
      <c r="S94" s="4">
        <v>29</v>
      </c>
      <c r="T94" s="1">
        <v>62.612690395614344</v>
      </c>
      <c r="U94" t="s">
        <v>65</v>
      </c>
      <c r="V94" s="1">
        <v>0.33343182522473924</v>
      </c>
      <c r="W94" t="s">
        <v>48</v>
      </c>
      <c r="X94" t="s">
        <v>33</v>
      </c>
      <c r="Y94" s="1">
        <v>230.09278253676294</v>
      </c>
      <c r="Z94">
        <v>1</v>
      </c>
      <c r="AA94" s="4">
        <v>37</v>
      </c>
      <c r="AB94">
        <v>223.73275472580002</v>
      </c>
      <c r="AD94"/>
      <c r="AE94"/>
    </row>
    <row r="95" spans="1:31" x14ac:dyDescent="0.25">
      <c r="A95" t="s">
        <v>25</v>
      </c>
      <c r="B95" t="s">
        <v>148</v>
      </c>
      <c r="C95" s="1">
        <v>69.290831002905492</v>
      </c>
      <c r="D95" s="3">
        <v>0.88</v>
      </c>
      <c r="E95">
        <v>114</v>
      </c>
      <c r="F95">
        <v>4531.4021336919095</v>
      </c>
      <c r="G95" t="s">
        <v>39</v>
      </c>
      <c r="H95" s="4">
        <v>63</v>
      </c>
      <c r="I95" s="4">
        <v>17</v>
      </c>
      <c r="J95">
        <v>41</v>
      </c>
      <c r="K95" s="4">
        <v>66</v>
      </c>
      <c r="L95">
        <v>1</v>
      </c>
      <c r="M95" t="s">
        <v>44</v>
      </c>
      <c r="N95" s="1">
        <v>7.0064320590043945</v>
      </c>
      <c r="O95" t="s">
        <v>53</v>
      </c>
      <c r="P95" t="s">
        <v>63</v>
      </c>
      <c r="Q95" s="4">
        <v>21</v>
      </c>
      <c r="R95" s="4">
        <v>824</v>
      </c>
      <c r="S95" s="4">
        <v>20</v>
      </c>
      <c r="T95" s="1">
        <v>35.633652343343876</v>
      </c>
      <c r="U95" t="s">
        <v>47</v>
      </c>
      <c r="V95" s="1">
        <v>4.1657817954241452</v>
      </c>
      <c r="W95" t="s">
        <v>41</v>
      </c>
      <c r="X95" t="s">
        <v>49</v>
      </c>
      <c r="Y95" s="1">
        <v>823.52384588815585</v>
      </c>
      <c r="Z95">
        <v>1</v>
      </c>
      <c r="AA95" s="4">
        <v>21</v>
      </c>
      <c r="AB95">
        <v>3432.6041994294956</v>
      </c>
      <c r="AD95"/>
      <c r="AE95"/>
    </row>
    <row r="96" spans="1:31" x14ac:dyDescent="0.25">
      <c r="A96" t="s">
        <v>58</v>
      </c>
      <c r="B96" t="s">
        <v>149</v>
      </c>
      <c r="C96" s="1">
        <v>3.0376887246314141</v>
      </c>
      <c r="D96" s="3">
        <v>0.97</v>
      </c>
      <c r="E96">
        <v>987</v>
      </c>
      <c r="F96">
        <v>7888.3565466618729</v>
      </c>
      <c r="G96" t="s">
        <v>39</v>
      </c>
      <c r="H96" s="4">
        <v>77</v>
      </c>
      <c r="I96" s="4">
        <v>26</v>
      </c>
      <c r="J96">
        <v>26</v>
      </c>
      <c r="K96" s="4">
        <v>72</v>
      </c>
      <c r="L96">
        <v>9</v>
      </c>
      <c r="M96" t="s">
        <v>28</v>
      </c>
      <c r="N96" s="1">
        <v>6.9429459420325808</v>
      </c>
      <c r="O96" t="s">
        <v>62</v>
      </c>
      <c r="P96" t="s">
        <v>51</v>
      </c>
      <c r="Q96" s="4">
        <v>12</v>
      </c>
      <c r="R96" s="4">
        <v>908</v>
      </c>
      <c r="S96" s="4">
        <v>14</v>
      </c>
      <c r="T96" s="1">
        <v>60.387378614862122</v>
      </c>
      <c r="U96" t="s">
        <v>65</v>
      </c>
      <c r="V96" s="1">
        <v>1.4636074984727798</v>
      </c>
      <c r="W96" t="s">
        <v>48</v>
      </c>
      <c r="X96" t="s">
        <v>33</v>
      </c>
      <c r="Y96" s="1">
        <v>846.66525698669477</v>
      </c>
      <c r="Z96">
        <v>0</v>
      </c>
      <c r="AA96" s="4">
        <v>26</v>
      </c>
      <c r="AB96">
        <v>1328.9556086132841</v>
      </c>
      <c r="AD96"/>
      <c r="AE96"/>
    </row>
    <row r="97" spans="1:31" x14ac:dyDescent="0.25">
      <c r="A97" t="s">
        <v>25</v>
      </c>
      <c r="B97" t="s">
        <v>150</v>
      </c>
      <c r="C97" s="1">
        <v>77.903927219447752</v>
      </c>
      <c r="D97" s="3">
        <v>0.65</v>
      </c>
      <c r="E97">
        <v>672</v>
      </c>
      <c r="F97">
        <v>7386.3639440486641</v>
      </c>
      <c r="G97" t="s">
        <v>39</v>
      </c>
      <c r="H97" s="4">
        <v>15</v>
      </c>
      <c r="I97" s="4">
        <v>14</v>
      </c>
      <c r="J97">
        <v>44</v>
      </c>
      <c r="K97" s="4">
        <v>26</v>
      </c>
      <c r="L97">
        <v>9</v>
      </c>
      <c r="M97" t="s">
        <v>28</v>
      </c>
      <c r="N97" s="1">
        <v>8.6303388696027543</v>
      </c>
      <c r="O97" t="s">
        <v>53</v>
      </c>
      <c r="P97" t="s">
        <v>30</v>
      </c>
      <c r="Q97" s="4">
        <v>18</v>
      </c>
      <c r="R97" s="4">
        <v>450</v>
      </c>
      <c r="S97" s="4">
        <v>26</v>
      </c>
      <c r="T97" s="1">
        <v>58.890685768589982</v>
      </c>
      <c r="U97" t="s">
        <v>31</v>
      </c>
      <c r="V97" s="1">
        <v>1.2108821295850665</v>
      </c>
      <c r="W97" t="s">
        <v>41</v>
      </c>
      <c r="X97" t="s">
        <v>49</v>
      </c>
      <c r="Y97" s="1">
        <v>778.8642413766479</v>
      </c>
      <c r="Z97">
        <v>1</v>
      </c>
      <c r="AA97" s="4">
        <v>35</v>
      </c>
      <c r="AB97">
        <v>544.89695831327992</v>
      </c>
      <c r="AD97"/>
      <c r="AE97"/>
    </row>
    <row r="98" spans="1:31" x14ac:dyDescent="0.25">
      <c r="A98" t="s">
        <v>58</v>
      </c>
      <c r="B98" t="s">
        <v>151</v>
      </c>
      <c r="C98" s="1">
        <v>24.42313142037338</v>
      </c>
      <c r="D98" s="3">
        <v>0.28999999999999998</v>
      </c>
      <c r="E98">
        <v>324</v>
      </c>
      <c r="F98">
        <v>7698.4247656321168</v>
      </c>
      <c r="G98" t="s">
        <v>27</v>
      </c>
      <c r="H98" s="4">
        <v>67</v>
      </c>
      <c r="I98" s="4">
        <v>2</v>
      </c>
      <c r="J98">
        <v>56</v>
      </c>
      <c r="K98" s="4">
        <v>32</v>
      </c>
      <c r="L98">
        <v>3</v>
      </c>
      <c r="M98" t="s">
        <v>44</v>
      </c>
      <c r="N98" s="1">
        <v>5.3528780439968093</v>
      </c>
      <c r="O98" t="s">
        <v>29</v>
      </c>
      <c r="P98" t="s">
        <v>30</v>
      </c>
      <c r="Q98" s="4">
        <v>28</v>
      </c>
      <c r="R98" s="4">
        <v>648</v>
      </c>
      <c r="S98" s="4">
        <v>28</v>
      </c>
      <c r="T98" s="1">
        <v>17.80375633139127</v>
      </c>
      <c r="U98" t="s">
        <v>31</v>
      </c>
      <c r="V98" s="1">
        <v>3.8720476814821332</v>
      </c>
      <c r="W98" t="s">
        <v>32</v>
      </c>
      <c r="X98" t="s">
        <v>49</v>
      </c>
      <c r="Y98" s="1">
        <v>188.74214114905698</v>
      </c>
      <c r="Z98">
        <v>1</v>
      </c>
      <c r="AA98" s="4">
        <v>31</v>
      </c>
      <c r="AB98">
        <v>2509.0868976004222</v>
      </c>
      <c r="AD98"/>
      <c r="AE98"/>
    </row>
    <row r="99" spans="1:31" x14ac:dyDescent="0.25">
      <c r="A99" t="s">
        <v>25</v>
      </c>
      <c r="B99" t="s">
        <v>152</v>
      </c>
      <c r="C99" s="1">
        <v>3.5261112591434158</v>
      </c>
      <c r="D99" s="3">
        <v>0.56000000000000005</v>
      </c>
      <c r="E99">
        <v>62</v>
      </c>
      <c r="F99">
        <v>4370.9165799845359</v>
      </c>
      <c r="G99" t="s">
        <v>56</v>
      </c>
      <c r="H99" s="4">
        <v>46</v>
      </c>
      <c r="I99" s="4">
        <v>19</v>
      </c>
      <c r="J99">
        <v>23</v>
      </c>
      <c r="K99" s="4">
        <v>4</v>
      </c>
      <c r="L99">
        <v>9</v>
      </c>
      <c r="M99" t="s">
        <v>37</v>
      </c>
      <c r="N99" s="1">
        <v>7.9048456112096748</v>
      </c>
      <c r="O99" t="s">
        <v>53</v>
      </c>
      <c r="P99" t="s">
        <v>30</v>
      </c>
      <c r="Q99" s="4">
        <v>10</v>
      </c>
      <c r="R99" s="4">
        <v>535</v>
      </c>
      <c r="S99" s="4">
        <v>13</v>
      </c>
      <c r="T99" s="1">
        <v>65.765155926367456</v>
      </c>
      <c r="U99" t="s">
        <v>47</v>
      </c>
      <c r="V99" s="1">
        <v>3.3762378347179811</v>
      </c>
      <c r="W99" t="s">
        <v>32</v>
      </c>
      <c r="X99" t="s">
        <v>49</v>
      </c>
      <c r="Y99" s="1">
        <v>540.13242286796776</v>
      </c>
      <c r="Z99">
        <v>0</v>
      </c>
      <c r="AA99" s="4">
        <v>19</v>
      </c>
      <c r="AB99">
        <v>1806.2872415741199</v>
      </c>
      <c r="AD99"/>
      <c r="AE99"/>
    </row>
    <row r="100" spans="1:31" x14ac:dyDescent="0.25">
      <c r="A100" t="s">
        <v>34</v>
      </c>
      <c r="B100" t="s">
        <v>153</v>
      </c>
      <c r="C100" s="1">
        <v>19.754604866878601</v>
      </c>
      <c r="D100" s="3">
        <v>0.43</v>
      </c>
      <c r="E100">
        <v>913</v>
      </c>
      <c r="F100">
        <v>8525.9525596835265</v>
      </c>
      <c r="G100" t="s">
        <v>36</v>
      </c>
      <c r="H100" s="4">
        <v>53</v>
      </c>
      <c r="I100" s="4">
        <v>1</v>
      </c>
      <c r="J100">
        <v>37</v>
      </c>
      <c r="K100" s="4">
        <v>27</v>
      </c>
      <c r="L100">
        <v>7</v>
      </c>
      <c r="M100" t="s">
        <v>28</v>
      </c>
      <c r="N100" s="1">
        <v>1.4098010951380731</v>
      </c>
      <c r="O100" t="s">
        <v>45</v>
      </c>
      <c r="P100" t="s">
        <v>63</v>
      </c>
      <c r="Q100" s="4">
        <v>28</v>
      </c>
      <c r="R100" s="4">
        <v>581</v>
      </c>
      <c r="S100" s="4">
        <v>9</v>
      </c>
      <c r="T100" s="1">
        <v>5.604690864371781</v>
      </c>
      <c r="U100" t="s">
        <v>31</v>
      </c>
      <c r="V100" s="1">
        <v>2.9081221693512611</v>
      </c>
      <c r="W100" t="s">
        <v>48</v>
      </c>
      <c r="X100" t="s">
        <v>49</v>
      </c>
      <c r="Y100" s="1">
        <v>882.19886354704147</v>
      </c>
      <c r="Z100">
        <v>1</v>
      </c>
      <c r="AA100" s="4">
        <v>16</v>
      </c>
      <c r="AB100">
        <v>1689.6189803930827</v>
      </c>
      <c r="AD100"/>
      <c r="AE100"/>
    </row>
    <row r="101" spans="1:31" x14ac:dyDescent="0.25">
      <c r="A101" t="s">
        <v>25</v>
      </c>
      <c r="B101" t="s">
        <v>154</v>
      </c>
      <c r="C101" s="1">
        <v>68.517832699276639</v>
      </c>
      <c r="D101" s="3">
        <v>0.17</v>
      </c>
      <c r="E101">
        <v>627</v>
      </c>
      <c r="F101">
        <v>9185.1858291817043</v>
      </c>
      <c r="G101" t="s">
        <v>39</v>
      </c>
      <c r="H101" s="4">
        <v>55</v>
      </c>
      <c r="I101" s="4">
        <v>8</v>
      </c>
      <c r="J101">
        <v>31</v>
      </c>
      <c r="K101" s="4">
        <v>59</v>
      </c>
      <c r="L101">
        <v>6</v>
      </c>
      <c r="M101" t="s">
        <v>28</v>
      </c>
      <c r="N101" s="1">
        <v>1.3110237561206226</v>
      </c>
      <c r="O101" t="s">
        <v>62</v>
      </c>
      <c r="P101" t="s">
        <v>63</v>
      </c>
      <c r="Q101" s="4">
        <v>29</v>
      </c>
      <c r="R101" s="4">
        <v>921</v>
      </c>
      <c r="S101" s="4">
        <v>2</v>
      </c>
      <c r="T101" s="1">
        <v>38.07289852062604</v>
      </c>
      <c r="U101" t="s">
        <v>47</v>
      </c>
      <c r="V101" s="1">
        <v>0.34602729070550342</v>
      </c>
      <c r="W101" t="s">
        <v>48</v>
      </c>
      <c r="X101" t="s">
        <v>33</v>
      </c>
      <c r="Y101" s="1">
        <v>210.74300896424614</v>
      </c>
      <c r="Z101">
        <v>0</v>
      </c>
      <c r="AA101" s="4">
        <v>8</v>
      </c>
      <c r="AB101">
        <v>318.69113473976864</v>
      </c>
      <c r="AD101"/>
      <c r="AE10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1CE4-A3FA-4B62-9D42-AE8FFEE4370A}">
  <dimension ref="A3:A19"/>
  <sheetViews>
    <sheetView showGridLines="0" workbookViewId="0">
      <selection activeCell="G4" sqref="G4"/>
    </sheetView>
  </sheetViews>
  <sheetFormatPr defaultRowHeight="15" x14ac:dyDescent="0.25"/>
  <cols>
    <col min="1" max="1" width="22.28515625" bestFit="1" customWidth="1"/>
    <col min="2" max="2" width="21.5703125" bestFit="1" customWidth="1"/>
    <col min="3" max="4" width="16.28515625" bestFit="1" customWidth="1"/>
    <col min="5" max="5" width="15.140625" bestFit="1" customWidth="1"/>
    <col min="6" max="6" width="14.28515625" bestFit="1" customWidth="1"/>
    <col min="7" max="100" width="16.28515625" bestFit="1" customWidth="1"/>
    <col min="101" max="101" width="11.28515625" bestFit="1" customWidth="1"/>
  </cols>
  <sheetData>
    <row r="3" spans="1:1" x14ac:dyDescent="0.25">
      <c r="A3" t="s">
        <v>176</v>
      </c>
    </row>
    <row r="4" spans="1:1" x14ac:dyDescent="0.25">
      <c r="A4" s="1">
        <v>577604.81873800862</v>
      </c>
    </row>
    <row r="6" spans="1:1" x14ac:dyDescent="0.25">
      <c r="A6" t="s">
        <v>173</v>
      </c>
    </row>
    <row r="7" spans="1:1" x14ac:dyDescent="0.25">
      <c r="A7">
        <v>46099</v>
      </c>
    </row>
    <row r="9" spans="1:1" x14ac:dyDescent="0.25">
      <c r="A9" t="s">
        <v>174</v>
      </c>
    </row>
    <row r="10" spans="1:1" x14ac:dyDescent="0.25">
      <c r="A10" s="2">
        <v>0.10362480747955487</v>
      </c>
    </row>
    <row r="12" spans="1:1" x14ac:dyDescent="0.25">
      <c r="A12" t="s">
        <v>171</v>
      </c>
    </row>
    <row r="13" spans="1:1" x14ac:dyDescent="0.25">
      <c r="A13">
        <v>5.75</v>
      </c>
    </row>
    <row r="15" spans="1:1" x14ac:dyDescent="0.25">
      <c r="A15" t="s">
        <v>170</v>
      </c>
    </row>
    <row r="16" spans="1:1" x14ac:dyDescent="0.25">
      <c r="A16" s="4">
        <v>23.13</v>
      </c>
    </row>
    <row r="18" spans="1:1" x14ac:dyDescent="0.25">
      <c r="A18" t="s">
        <v>172</v>
      </c>
    </row>
    <row r="19" spans="1:1" x14ac:dyDescent="0.25">
      <c r="A19" s="2">
        <v>2.2771579927396118E-2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FB86-121D-4865-BE9A-457E44604C9A}">
  <dimension ref="A4:J20"/>
  <sheetViews>
    <sheetView showGridLines="0" tabSelected="1" workbookViewId="0">
      <selection activeCell="E11" sqref="E11"/>
    </sheetView>
  </sheetViews>
  <sheetFormatPr defaultRowHeight="15" x14ac:dyDescent="0.25"/>
  <cols>
    <col min="1" max="1" width="14.7109375" bestFit="1" customWidth="1"/>
    <col min="2" max="2" width="14.28515625" bestFit="1" customWidth="1"/>
    <col min="3" max="3" width="8.140625" bestFit="1" customWidth="1"/>
    <col min="4" max="4" width="12.28515625" bestFit="1" customWidth="1"/>
    <col min="5" max="5" width="16.140625" bestFit="1" customWidth="1"/>
    <col min="6" max="6" width="14" bestFit="1" customWidth="1"/>
    <col min="7" max="7" width="13.140625" bestFit="1" customWidth="1"/>
    <col min="8" max="8" width="19.7109375" bestFit="1" customWidth="1"/>
    <col min="9" max="9" width="25.28515625" bestFit="1" customWidth="1"/>
    <col min="10" max="11" width="15.7109375" bestFit="1" customWidth="1"/>
    <col min="12" max="12" width="18.28515625" bestFit="1" customWidth="1"/>
    <col min="13" max="13" width="33.5703125" bestFit="1" customWidth="1"/>
    <col min="14" max="15" width="9.140625" customWidth="1"/>
    <col min="16" max="16" width="9" customWidth="1"/>
    <col min="17" max="17" width="9.5703125" customWidth="1"/>
    <col min="18" max="18" width="8.85546875" customWidth="1"/>
    <col min="19" max="19" width="3" bestFit="1" customWidth="1"/>
    <col min="20" max="104" width="4" bestFit="1" customWidth="1"/>
    <col min="105" max="105" width="11.28515625" bestFit="1" customWidth="1"/>
  </cols>
  <sheetData>
    <row r="4" spans="1:10" x14ac:dyDescent="0.25">
      <c r="A4" s="6" t="s">
        <v>160</v>
      </c>
      <c r="B4" t="s">
        <v>176</v>
      </c>
      <c r="C4" t="s">
        <v>175</v>
      </c>
      <c r="G4" s="6" t="s">
        <v>160</v>
      </c>
      <c r="H4" t="s">
        <v>177</v>
      </c>
      <c r="I4" t="s">
        <v>178</v>
      </c>
      <c r="J4" t="s">
        <v>168</v>
      </c>
    </row>
    <row r="5" spans="1:10" x14ac:dyDescent="0.25">
      <c r="A5" s="7" t="s">
        <v>58</v>
      </c>
      <c r="B5" s="1">
        <v>161521.26599948315</v>
      </c>
      <c r="C5" s="2">
        <v>0.25503807024013536</v>
      </c>
      <c r="G5" s="7" t="s">
        <v>58</v>
      </c>
      <c r="H5" s="10">
        <v>11757</v>
      </c>
      <c r="I5" s="4">
        <v>12461</v>
      </c>
      <c r="J5" s="10">
        <v>704</v>
      </c>
    </row>
    <row r="6" spans="1:10" x14ac:dyDescent="0.25">
      <c r="A6" s="9" t="s">
        <v>36</v>
      </c>
      <c r="B6" s="1">
        <v>69548.542196853567</v>
      </c>
      <c r="C6" s="2">
        <v>8.7030087420551419E-2</v>
      </c>
      <c r="G6" s="7" t="s">
        <v>25</v>
      </c>
      <c r="H6" s="10">
        <v>13611</v>
      </c>
      <c r="I6" s="4">
        <v>19957</v>
      </c>
      <c r="J6" s="10">
        <v>6346</v>
      </c>
    </row>
    <row r="7" spans="1:10" x14ac:dyDescent="0.25">
      <c r="A7" s="9" t="s">
        <v>56</v>
      </c>
      <c r="B7" s="1">
        <v>21390.965497337202</v>
      </c>
      <c r="C7" s="2">
        <v>4.9979392177704508E-2</v>
      </c>
      <c r="G7" s="7" t="s">
        <v>34</v>
      </c>
      <c r="H7" s="10">
        <v>20731</v>
      </c>
      <c r="I7" s="4">
        <v>24366</v>
      </c>
      <c r="J7" s="10">
        <v>3635</v>
      </c>
    </row>
    <row r="8" spans="1:10" x14ac:dyDescent="0.25">
      <c r="A8" s="9" t="s">
        <v>27</v>
      </c>
      <c r="B8" s="1">
        <v>26235.48166058413</v>
      </c>
      <c r="C8" s="2">
        <v>5.6552202867741166E-2</v>
      </c>
      <c r="G8" s="7" t="s">
        <v>155</v>
      </c>
      <c r="H8" s="10">
        <v>46099</v>
      </c>
      <c r="I8" s="4">
        <v>56784</v>
      </c>
      <c r="J8" s="10">
        <v>10685</v>
      </c>
    </row>
    <row r="9" spans="1:10" x14ac:dyDescent="0.25">
      <c r="A9" s="9" t="s">
        <v>39</v>
      </c>
      <c r="B9" s="1">
        <v>44346.276644708239</v>
      </c>
      <c r="C9" s="2">
        <v>6.1476387774138268E-2</v>
      </c>
    </row>
    <row r="10" spans="1:10" x14ac:dyDescent="0.25">
      <c r="A10" s="7" t="s">
        <v>25</v>
      </c>
      <c r="B10" s="1">
        <v>174455.39060546231</v>
      </c>
      <c r="C10" s="2">
        <v>0.29525586238313195</v>
      </c>
    </row>
    <row r="11" spans="1:10" x14ac:dyDescent="0.25">
      <c r="A11" s="9" t="s">
        <v>36</v>
      </c>
      <c r="B11" s="1">
        <v>12724.833283172677</v>
      </c>
      <c r="C11" s="2">
        <v>2.0304128072192455E-2</v>
      </c>
    </row>
    <row r="12" spans="1:10" x14ac:dyDescent="0.25">
      <c r="A12" s="9" t="s">
        <v>56</v>
      </c>
      <c r="B12" s="1">
        <v>50599.927309213686</v>
      </c>
      <c r="C12" s="2">
        <v>4.9719082843445631E-2</v>
      </c>
    </row>
    <row r="13" spans="1:10" x14ac:dyDescent="0.25">
      <c r="A13" s="9" t="s">
        <v>27</v>
      </c>
      <c r="B13" s="1">
        <v>38971.147084737851</v>
      </c>
      <c r="C13" s="2">
        <v>6.1172693550836245E-2</v>
      </c>
    </row>
    <row r="14" spans="1:10" x14ac:dyDescent="0.25">
      <c r="A14" s="9" t="s">
        <v>39</v>
      </c>
      <c r="B14" s="1">
        <v>72159.482928338097</v>
      </c>
      <c r="C14" s="2">
        <v>0.16405995791665762</v>
      </c>
    </row>
    <row r="15" spans="1:10" x14ac:dyDescent="0.25">
      <c r="A15" s="7" t="s">
        <v>34</v>
      </c>
      <c r="B15" s="1">
        <v>241628.16213306319</v>
      </c>
      <c r="C15" s="2">
        <v>0.44970606737673269</v>
      </c>
    </row>
    <row r="16" spans="1:10" x14ac:dyDescent="0.25">
      <c r="A16" s="9" t="s">
        <v>36</v>
      </c>
      <c r="B16" s="1">
        <v>79241.113641604403</v>
      </c>
      <c r="C16" s="2">
        <v>0.17035076682791384</v>
      </c>
    </row>
    <row r="17" spans="1:3" x14ac:dyDescent="0.25">
      <c r="A17" s="9" t="s">
        <v>56</v>
      </c>
      <c r="B17" s="1">
        <v>54643.501453243131</v>
      </c>
      <c r="C17" s="2">
        <v>6.3146706002299394E-2</v>
      </c>
    </row>
    <row r="18" spans="1:3" x14ac:dyDescent="0.25">
      <c r="A18" s="9" t="s">
        <v>27</v>
      </c>
      <c r="B18" s="1">
        <v>51159.172774287334</v>
      </c>
      <c r="C18" s="2">
        <v>0.11178116661966638</v>
      </c>
    </row>
    <row r="19" spans="1:3" x14ac:dyDescent="0.25">
      <c r="A19" s="9" t="s">
        <v>39</v>
      </c>
      <c r="B19" s="1">
        <v>56584.374263928337</v>
      </c>
      <c r="C19" s="2">
        <v>0.10442742792685308</v>
      </c>
    </row>
    <row r="20" spans="1:3" x14ac:dyDescent="0.25">
      <c r="A20" s="7" t="s">
        <v>155</v>
      </c>
      <c r="B20" s="1">
        <v>577604.81873800873</v>
      </c>
      <c r="C20" s="2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D69C-A09D-4471-BEDA-729DA306F295}">
  <dimension ref="A3:H26"/>
  <sheetViews>
    <sheetView showGridLines="0" workbookViewId="0">
      <selection activeCell="G11" sqref="G11"/>
    </sheetView>
  </sheetViews>
  <sheetFormatPr defaultRowHeight="15" x14ac:dyDescent="0.25"/>
  <cols>
    <col min="1" max="1" width="11.28515625" bestFit="1" customWidth="1"/>
    <col min="2" max="2" width="18.85546875" bestFit="1" customWidth="1"/>
    <col min="3" max="3" width="24.5703125" bestFit="1" customWidth="1"/>
    <col min="4" max="4" width="10.7109375" bestFit="1" customWidth="1"/>
    <col min="5" max="5" width="18.28515625" bestFit="1" customWidth="1"/>
    <col min="6" max="6" width="24.5703125" bestFit="1" customWidth="1"/>
    <col min="7" max="7" width="11.28515625" bestFit="1" customWidth="1"/>
    <col min="8" max="8" width="22.140625" bestFit="1" customWidth="1"/>
    <col min="9" max="9" width="20.28515625" bestFit="1" customWidth="1"/>
  </cols>
  <sheetData>
    <row r="3" spans="1:8" x14ac:dyDescent="0.25">
      <c r="A3" s="6" t="s">
        <v>160</v>
      </c>
      <c r="B3" t="s">
        <v>180</v>
      </c>
      <c r="C3" t="s">
        <v>181</v>
      </c>
      <c r="D3" t="s">
        <v>161</v>
      </c>
      <c r="E3" t="s">
        <v>167</v>
      </c>
      <c r="G3" s="6" t="s">
        <v>160</v>
      </c>
      <c r="H3" t="s">
        <v>157</v>
      </c>
    </row>
    <row r="4" spans="1:8" x14ac:dyDescent="0.25">
      <c r="A4" s="7" t="s">
        <v>58</v>
      </c>
      <c r="B4" s="4">
        <v>1525</v>
      </c>
      <c r="C4">
        <v>11757</v>
      </c>
      <c r="D4" s="2">
        <v>0.1297099600238156</v>
      </c>
      <c r="E4" s="8">
        <v>7.7095081967213117</v>
      </c>
      <c r="G4" s="7" t="s">
        <v>58</v>
      </c>
      <c r="H4" s="2">
        <v>1.919286978281317E-2</v>
      </c>
    </row>
    <row r="5" spans="1:8" x14ac:dyDescent="0.25">
      <c r="A5" s="7" t="s">
        <v>25</v>
      </c>
      <c r="B5" s="4">
        <v>1644</v>
      </c>
      <c r="C5">
        <v>13611</v>
      </c>
      <c r="D5" s="2">
        <v>0.12078465946660789</v>
      </c>
      <c r="E5" s="8">
        <v>8.2791970802919703</v>
      </c>
      <c r="G5" s="7" t="s">
        <v>25</v>
      </c>
      <c r="H5" s="2">
        <v>2.4831501929246241E-2</v>
      </c>
    </row>
    <row r="6" spans="1:8" x14ac:dyDescent="0.25">
      <c r="A6" s="7" t="s">
        <v>34</v>
      </c>
      <c r="B6" s="4">
        <v>1608</v>
      </c>
      <c r="C6">
        <v>20731</v>
      </c>
      <c r="D6" s="2">
        <v>7.7564999276445903E-2</v>
      </c>
      <c r="E6" s="8">
        <v>12.892412935323383</v>
      </c>
      <c r="G6" s="7" t="s">
        <v>34</v>
      </c>
      <c r="H6" s="2">
        <v>2.3346807819802369E-2</v>
      </c>
    </row>
    <row r="7" spans="1:8" x14ac:dyDescent="0.25">
      <c r="A7" s="7" t="s">
        <v>155</v>
      </c>
      <c r="B7" s="4">
        <v>4777</v>
      </c>
      <c r="C7">
        <v>46099</v>
      </c>
      <c r="D7" s="2">
        <v>0.10362480747955487</v>
      </c>
      <c r="E7" s="8">
        <v>9.65019886958342</v>
      </c>
      <c r="G7" s="7" t="s">
        <v>155</v>
      </c>
      <c r="H7" s="2">
        <v>2.2771579927396104E-2</v>
      </c>
    </row>
    <row r="11" spans="1:8" x14ac:dyDescent="0.25">
      <c r="A11" s="6" t="s">
        <v>11</v>
      </c>
      <c r="B11" s="6" t="s">
        <v>21</v>
      </c>
      <c r="C11" t="s">
        <v>156</v>
      </c>
      <c r="G11" s="6" t="s">
        <v>179</v>
      </c>
      <c r="H11" t="s">
        <v>169</v>
      </c>
    </row>
    <row r="12" spans="1:8" x14ac:dyDescent="0.25">
      <c r="A12" t="s">
        <v>37</v>
      </c>
      <c r="B12" t="s">
        <v>32</v>
      </c>
      <c r="C12" s="8">
        <v>5.1818181818181817</v>
      </c>
      <c r="G12" s="7" t="s">
        <v>37</v>
      </c>
      <c r="H12" s="1">
        <v>155.53783060623559</v>
      </c>
    </row>
    <row r="13" spans="1:8" x14ac:dyDescent="0.25">
      <c r="B13" t="s">
        <v>41</v>
      </c>
      <c r="C13" s="8">
        <v>5.6</v>
      </c>
      <c r="G13" s="7" t="s">
        <v>28</v>
      </c>
      <c r="H13" s="1">
        <v>236.89761966393539</v>
      </c>
    </row>
    <row r="14" spans="1:8" x14ac:dyDescent="0.25">
      <c r="B14" t="s">
        <v>57</v>
      </c>
      <c r="C14" s="8">
        <v>7</v>
      </c>
      <c r="G14" s="7" t="s">
        <v>44</v>
      </c>
      <c r="H14" s="1">
        <v>162.37945693178767</v>
      </c>
    </row>
    <row r="15" spans="1:8" x14ac:dyDescent="0.25">
      <c r="B15" t="s">
        <v>48</v>
      </c>
      <c r="C15" s="8">
        <v>7.4285714285714288</v>
      </c>
      <c r="G15" s="7" t="s">
        <v>155</v>
      </c>
      <c r="H15" s="1">
        <v>554.8149072019587</v>
      </c>
    </row>
    <row r="16" spans="1:8" x14ac:dyDescent="0.25">
      <c r="A16" t="s">
        <v>163</v>
      </c>
      <c r="C16" s="8">
        <v>6.1428571428571432</v>
      </c>
    </row>
    <row r="17" spans="1:8" x14ac:dyDescent="0.25">
      <c r="A17" t="s">
        <v>44</v>
      </c>
      <c r="B17" t="s">
        <v>32</v>
      </c>
      <c r="C17" s="8">
        <v>3.7142857142857144</v>
      </c>
    </row>
    <row r="18" spans="1:8" x14ac:dyDescent="0.25">
      <c r="B18" t="s">
        <v>48</v>
      </c>
      <c r="C18" s="8">
        <v>6.166666666666667</v>
      </c>
    </row>
    <row r="19" spans="1:8" x14ac:dyDescent="0.25">
      <c r="B19" t="s">
        <v>41</v>
      </c>
      <c r="C19" s="8">
        <v>6.5714285714285712</v>
      </c>
    </row>
    <row r="20" spans="1:8" x14ac:dyDescent="0.25">
      <c r="B20" t="s">
        <v>57</v>
      </c>
      <c r="C20" s="8">
        <v>7.333333333333333</v>
      </c>
      <c r="G20" s="6" t="s">
        <v>162</v>
      </c>
      <c r="H20" t="s">
        <v>159</v>
      </c>
    </row>
    <row r="21" spans="1:8" x14ac:dyDescent="0.25">
      <c r="A21" t="s">
        <v>165</v>
      </c>
      <c r="C21" s="8">
        <v>6.0344827586206895</v>
      </c>
      <c r="G21" s="7" t="s">
        <v>45</v>
      </c>
      <c r="H21" s="4">
        <v>24.444444444444443</v>
      </c>
    </row>
    <row r="22" spans="1:8" x14ac:dyDescent="0.25">
      <c r="A22" t="s">
        <v>28</v>
      </c>
      <c r="B22" t="s">
        <v>41</v>
      </c>
      <c r="C22" s="8">
        <v>4.2142857142857144</v>
      </c>
      <c r="G22" s="7" t="s">
        <v>53</v>
      </c>
      <c r="H22" s="4">
        <v>24</v>
      </c>
    </row>
    <row r="23" spans="1:8" x14ac:dyDescent="0.25">
      <c r="B23" t="s">
        <v>32</v>
      </c>
      <c r="C23" s="8">
        <v>4.9090909090909092</v>
      </c>
      <c r="G23" s="7" t="s">
        <v>62</v>
      </c>
      <c r="H23" s="4">
        <v>23.318181818181817</v>
      </c>
    </row>
    <row r="24" spans="1:8" x14ac:dyDescent="0.25">
      <c r="B24" t="s">
        <v>48</v>
      </c>
      <c r="C24" s="8">
        <v>6.333333333333333</v>
      </c>
      <c r="G24" s="7" t="s">
        <v>29</v>
      </c>
      <c r="H24" s="4">
        <v>22.133333333333333</v>
      </c>
    </row>
    <row r="25" spans="1:8" x14ac:dyDescent="0.25">
      <c r="B25" t="s">
        <v>57</v>
      </c>
      <c r="C25" s="8">
        <v>6.666666666666667</v>
      </c>
      <c r="G25" s="7" t="s">
        <v>40</v>
      </c>
      <c r="H25" s="4">
        <v>22.074074074074073</v>
      </c>
    </row>
    <row r="26" spans="1:8" x14ac:dyDescent="0.25">
      <c r="A26" t="s">
        <v>164</v>
      </c>
      <c r="C26" s="8">
        <v>5.3023255813953485</v>
      </c>
      <c r="G26" s="7" t="s">
        <v>155</v>
      </c>
      <c r="H26" s="4">
        <v>23.13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CA004-E408-4D79-9FDC-E9945A553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Supply Chain Dataset</vt:lpstr>
      <vt:lpstr>KPIs</vt:lpstr>
      <vt:lpstr>Commercial Analysis</vt:lpstr>
      <vt:lpstr>Operational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kygy gygy</dc:creator>
  <cp:lastModifiedBy>kygy gygy</cp:lastModifiedBy>
  <dcterms:created xsi:type="dcterms:W3CDTF">2026-04-13T07:42:03Z</dcterms:created>
  <dcterms:modified xsi:type="dcterms:W3CDTF">2026-04-17T17:52:41Z</dcterms:modified>
</cp:coreProperties>
</file>